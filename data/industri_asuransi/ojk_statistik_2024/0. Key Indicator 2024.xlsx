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neojk.sharepoint.com/sites/NEWDAIN/Shared Documents/01_asuransi/02.buku_perasuransian/BUKU STATISTIK 2024/"/>
    </mc:Choice>
  </mc:AlternateContent>
  <xr:revisionPtr revIDLastSave="48" documentId="8_{22878118-77C8-475F-82F7-0D3162502267}" xr6:coauthVersionLast="47" xr6:coauthVersionMax="47" xr10:uidLastSave="{EFB237F9-23A1-4977-8BBD-4596A95D2D97}"/>
  <bookViews>
    <workbookView xWindow="-110" yWindow="-110" windowWidth="19420" windowHeight="11500" xr2:uid="{00000000-000D-0000-FFFF-FFFF00000000}"/>
  </bookViews>
  <sheets>
    <sheet name="CETAK" sheetId="1" r:id="rId1"/>
    <sheet name="CETAK (value)" sheetId="3" state="hidden" r:id="rId2"/>
  </sheets>
  <externalReferences>
    <externalReference r:id="rId3"/>
    <externalReference r:id="rId4"/>
  </externalReferences>
  <definedNames>
    <definedName name="_xlnm.Print_Area" localSheetId="1">'CETAK (value)'!$A$1:$J$140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35" i="3" l="1"/>
  <c r="S135" i="3"/>
  <c r="T135" i="3"/>
  <c r="U135" i="3"/>
  <c r="V135" i="3"/>
  <c r="R136" i="3"/>
  <c r="S136" i="3"/>
  <c r="T136" i="3"/>
  <c r="U136" i="3"/>
  <c r="V136" i="3"/>
  <c r="R137" i="3"/>
  <c r="S137" i="3"/>
  <c r="T137" i="3"/>
  <c r="U137" i="3"/>
  <c r="V137" i="3"/>
  <c r="R138" i="3"/>
  <c r="S138" i="3"/>
  <c r="T138" i="3"/>
  <c r="U138" i="3"/>
  <c r="V138" i="3"/>
  <c r="R139" i="3"/>
  <c r="S139" i="3"/>
  <c r="T139" i="3"/>
  <c r="U139" i="3"/>
  <c r="V139" i="3"/>
  <c r="S134" i="3"/>
  <c r="T134" i="3"/>
  <c r="U134" i="3"/>
  <c r="V134" i="3"/>
  <c r="R134" i="3"/>
  <c r="R128" i="3"/>
  <c r="S128" i="3"/>
  <c r="T128" i="3"/>
  <c r="U128" i="3"/>
  <c r="V128" i="3"/>
  <c r="R129" i="3"/>
  <c r="S129" i="3"/>
  <c r="T129" i="3"/>
  <c r="U129" i="3"/>
  <c r="V129" i="3"/>
  <c r="R130" i="3"/>
  <c r="S130" i="3"/>
  <c r="T130" i="3"/>
  <c r="U130" i="3"/>
  <c r="V130" i="3"/>
  <c r="S127" i="3"/>
  <c r="T127" i="3"/>
  <c r="U127" i="3"/>
  <c r="V127" i="3"/>
  <c r="R127" i="3"/>
  <c r="S112" i="3"/>
  <c r="T112" i="3"/>
  <c r="U112" i="3"/>
  <c r="V112" i="3"/>
  <c r="S113" i="3"/>
  <c r="T113" i="3"/>
  <c r="U113" i="3"/>
  <c r="V113" i="3"/>
  <c r="S114" i="3"/>
  <c r="T114" i="3"/>
  <c r="U114" i="3"/>
  <c r="V114" i="3"/>
  <c r="S115" i="3"/>
  <c r="T115" i="3"/>
  <c r="U115" i="3"/>
  <c r="V115" i="3"/>
  <c r="S116" i="3"/>
  <c r="T116" i="3"/>
  <c r="U116" i="3"/>
  <c r="V116" i="3"/>
  <c r="S119" i="3"/>
  <c r="T119" i="3"/>
  <c r="U119" i="3"/>
  <c r="V119" i="3"/>
  <c r="S121" i="3"/>
  <c r="T121" i="3"/>
  <c r="U121" i="3"/>
  <c r="V121" i="3"/>
  <c r="S123" i="3"/>
  <c r="T123" i="3"/>
  <c r="U123" i="3"/>
  <c r="R113" i="3"/>
  <c r="R114" i="3"/>
  <c r="R115" i="3"/>
  <c r="R116" i="3"/>
  <c r="R119" i="3"/>
  <c r="R121" i="3"/>
  <c r="R123" i="3"/>
  <c r="R112" i="3"/>
  <c r="Y73" i="3"/>
  <c r="Z73" i="3"/>
  <c r="AA73" i="3"/>
  <c r="AB73" i="3"/>
  <c r="Y74" i="3"/>
  <c r="Z74" i="3"/>
  <c r="AA74" i="3"/>
  <c r="AB74" i="3"/>
  <c r="Y75" i="3"/>
  <c r="Z75" i="3"/>
  <c r="AA75" i="3"/>
  <c r="AB75" i="3"/>
  <c r="Y76" i="3"/>
  <c r="Z76" i="3"/>
  <c r="AA76" i="3"/>
  <c r="AB76" i="3"/>
  <c r="Y77" i="3"/>
  <c r="Z77" i="3"/>
  <c r="AA77" i="3"/>
  <c r="AB77" i="3"/>
  <c r="Y78" i="3"/>
  <c r="Z78" i="3"/>
  <c r="AA78" i="3"/>
  <c r="AB78" i="3"/>
  <c r="Y79" i="3"/>
  <c r="Z79" i="3"/>
  <c r="AA79" i="3"/>
  <c r="AB79" i="3"/>
  <c r="Y80" i="3"/>
  <c r="Z80" i="3"/>
  <c r="AA80" i="3"/>
  <c r="AB80" i="3"/>
  <c r="Y81" i="3"/>
  <c r="Z81" i="3"/>
  <c r="AA81" i="3"/>
  <c r="AB81" i="3"/>
  <c r="Y82" i="3"/>
  <c r="Z82" i="3"/>
  <c r="AA82" i="3"/>
  <c r="AB82" i="3"/>
  <c r="Y83" i="3"/>
  <c r="Z83" i="3"/>
  <c r="AA83" i="3"/>
  <c r="AB83" i="3"/>
  <c r="Y84" i="3"/>
  <c r="Z84" i="3"/>
  <c r="AA84" i="3"/>
  <c r="AB84" i="3"/>
  <c r="Y85" i="3"/>
  <c r="Z85" i="3"/>
  <c r="AA85" i="3"/>
  <c r="AB85" i="3"/>
  <c r="Y86" i="3"/>
  <c r="Z86" i="3"/>
  <c r="AA86" i="3"/>
  <c r="AB86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73" i="3"/>
  <c r="M51" i="3" l="1"/>
  <c r="I103" i="3" l="1"/>
  <c r="I97" i="3"/>
  <c r="I91" i="3"/>
  <c r="I88" i="3"/>
  <c r="I60" i="3"/>
  <c r="K54" i="3" s="1"/>
  <c r="K56" i="3" s="1"/>
  <c r="I49" i="3"/>
  <c r="I25" i="3"/>
  <c r="K1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jonatan</author>
    <author>RISTI08-03</author>
  </authors>
  <commentList>
    <comment ref="F40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jonatan:</t>
        </r>
        <r>
          <rPr>
            <sz val="8"/>
            <color indexed="81"/>
            <rFont val="Tahoma"/>
            <family val="2"/>
          </rPr>
          <t xml:space="preserve">
apa benar nilai yang dipake adalah sum insured total new business bukan total inforce?</t>
        </r>
      </text>
    </comment>
    <comment ref="G40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jonatan:</t>
        </r>
        <r>
          <rPr>
            <sz val="8"/>
            <color indexed="81"/>
            <rFont val="Tahoma"/>
            <family val="2"/>
          </rPr>
          <t xml:space="preserve">
apa benar nilai yang dipake adalah sum insured total new business bukan total inforce?</t>
        </r>
      </text>
    </comment>
    <comment ref="H40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jonatan:</t>
        </r>
        <r>
          <rPr>
            <sz val="8"/>
            <color indexed="81"/>
            <rFont val="Tahoma"/>
            <family val="2"/>
          </rPr>
          <t xml:space="preserve">
apa benar nilai yang dipake adalah sum insured total new business bukan total inforce?</t>
        </r>
      </text>
    </comment>
    <comment ref="I40" authorId="0" shapeId="0" xr:uid="{00000000-0006-0000-0100-000004000000}">
      <text>
        <r>
          <rPr>
            <b/>
            <sz val="8"/>
            <color indexed="81"/>
            <rFont val="Tahoma"/>
            <family val="2"/>
          </rPr>
          <t>jonatan:</t>
        </r>
        <r>
          <rPr>
            <sz val="8"/>
            <color indexed="81"/>
            <rFont val="Tahoma"/>
            <family val="2"/>
          </rPr>
          <t xml:space="preserve">
apa benar nilai yang dipake adalah sum insured total new business bukan total inforce?</t>
        </r>
      </text>
    </comment>
    <comment ref="H50" authorId="1" shapeId="0" xr:uid="{00000000-0006-0000-0100-000005000000}">
      <text>
        <r>
          <rPr>
            <b/>
            <sz val="8"/>
            <color indexed="81"/>
            <rFont val="Tahoma"/>
            <family val="2"/>
          </rPr>
          <t>RISTI08-03:</t>
        </r>
        <r>
          <rPr>
            <sz val="8"/>
            <color indexed="81"/>
            <rFont val="Tahoma"/>
            <family val="2"/>
          </rPr>
          <t xml:space="preserve">
sumber data portopel rekap</t>
        </r>
      </text>
    </comment>
    <comment ref="H51" authorId="1" shapeId="0" xr:uid="{00000000-0006-0000-0100-000006000000}">
      <text>
        <r>
          <rPr>
            <b/>
            <sz val="8"/>
            <color indexed="81"/>
            <rFont val="Tahoma"/>
            <family val="2"/>
          </rPr>
          <t>RISTI08-03:</t>
        </r>
        <r>
          <rPr>
            <sz val="8"/>
            <color indexed="81"/>
            <rFont val="Tahoma"/>
            <family val="2"/>
          </rPr>
          <t xml:space="preserve">
sumber data rekap premi
</t>
        </r>
      </text>
    </comment>
    <comment ref="H65" authorId="1" shapeId="0" xr:uid="{00000000-0006-0000-0100-000007000000}">
      <text>
        <r>
          <rPr>
            <b/>
            <sz val="8"/>
            <color indexed="81"/>
            <rFont val="Tahoma"/>
            <family val="2"/>
          </rPr>
          <t>RISTI08-03:</t>
        </r>
        <r>
          <rPr>
            <sz val="8"/>
            <color indexed="81"/>
            <rFont val="Tahoma"/>
            <family val="2"/>
          </rPr>
          <t xml:space="preserve">
sumber data rekap cadangan
</t>
        </r>
      </text>
    </comment>
  </commentList>
</comments>
</file>

<file path=xl/sharedStrings.xml><?xml version="1.0" encoding="utf-8"?>
<sst xmlns="http://schemas.openxmlformats.org/spreadsheetml/2006/main" count="375" uniqueCount="195">
  <si>
    <t>INDIKATOR KUNCI</t>
  </si>
  <si>
    <t>KEY INDICATORS</t>
  </si>
  <si>
    <t>ECONOMICS AND INSURANCE DEVELOPMENT DATA</t>
  </si>
  <si>
    <t>(1)</t>
  </si>
  <si>
    <t>National Income Aggregate*</t>
  </si>
  <si>
    <t>Gross Domestic Product</t>
  </si>
  <si>
    <t xml:space="preserve">At Current Market Price </t>
  </si>
  <si>
    <t xml:space="preserve"> </t>
  </si>
  <si>
    <t>(Trillion Rp)</t>
  </si>
  <si>
    <t>Annual Change (%)</t>
  </si>
  <si>
    <t>20.84</t>
  </si>
  <si>
    <t>20.36</t>
  </si>
  <si>
    <t>25.32</t>
  </si>
  <si>
    <t>At year 2000 Market Price (Trillion  Rp)**</t>
  </si>
  <si>
    <t>5.69</t>
  </si>
  <si>
    <t>5.50</t>
  </si>
  <si>
    <t>6.01</t>
  </si>
  <si>
    <t>Inflation Rate (Annual Change of CPI)*</t>
  </si>
  <si>
    <t xml:space="preserve"> 17.11</t>
  </si>
  <si>
    <t xml:space="preserve"> 6.60</t>
  </si>
  <si>
    <t>Exchange Rate (Per US$1)*</t>
  </si>
  <si>
    <t>Population (Million)*</t>
  </si>
  <si>
    <t>237.5</t>
  </si>
  <si>
    <t>Employment (in 000)*</t>
  </si>
  <si>
    <t>Labour Force</t>
  </si>
  <si>
    <t>Number of Employed (Formal Sector)</t>
  </si>
  <si>
    <t>Market Structure</t>
  </si>
  <si>
    <t>Number of Registered Insurers :</t>
  </si>
  <si>
    <t>Life Insurers</t>
  </si>
  <si>
    <t>General Insurers</t>
  </si>
  <si>
    <t>Professional Reinsurers</t>
  </si>
  <si>
    <t>Social Insurer &amp; Jamsostek</t>
  </si>
  <si>
    <t>Civil Servant &amp; Armed Forces</t>
  </si>
  <si>
    <t>Insurance and Reinsurance Brokers</t>
  </si>
  <si>
    <t>Loss Adjusters</t>
  </si>
  <si>
    <t>Actuarial Consultants</t>
  </si>
  <si>
    <t>Insurance Development:</t>
  </si>
  <si>
    <t>Per Capita Expenditure (Rp)***</t>
  </si>
  <si>
    <t>139,414,596</t>
  </si>
  <si>
    <t>As % of GDP:</t>
  </si>
  <si>
    <t>Life Sum Insureds</t>
  </si>
  <si>
    <t xml:space="preserve"> 6.24</t>
  </si>
  <si>
    <t xml:space="preserve"> 5.89</t>
  </si>
  <si>
    <t>Life Premiums</t>
  </si>
  <si>
    <t xml:space="preserve"> 0.83</t>
  </si>
  <si>
    <t xml:space="preserve"> 0.82</t>
  </si>
  <si>
    <t>Non-life and Reinsurance Gross Premiums</t>
  </si>
  <si>
    <t xml:space="preserve"> 0.62</t>
  </si>
  <si>
    <t xml:space="preserve"> 0.50</t>
  </si>
  <si>
    <t>Life Assets</t>
  </si>
  <si>
    <t>Non-Life and Reinsurance Assets</t>
  </si>
  <si>
    <t xml:space="preserve"> 0.75</t>
  </si>
  <si>
    <t>LIFE INSURANCE DATA</t>
  </si>
  <si>
    <t>Total New Business except PA and Health</t>
  </si>
  <si>
    <t>konv</t>
  </si>
  <si>
    <t>sy</t>
  </si>
  <si>
    <t>Number of Policies (In Unit)</t>
  </si>
  <si>
    <t xml:space="preserve"> 9,723,897</t>
  </si>
  <si>
    <t xml:space="preserve"> 9,421,471</t>
  </si>
  <si>
    <t>*   Source:  Central of Statistic Bureau (BPS)</t>
  </si>
  <si>
    <t>**    The Constant Price is Based on Year 2000 Market Price</t>
  </si>
  <si>
    <t>*** Total Gross Premiums / Number of Population</t>
  </si>
  <si>
    <r>
      <t xml:space="preserve">KEY INDICATORS </t>
    </r>
    <r>
      <rPr>
        <i/>
        <sz val="12"/>
        <color indexed="8"/>
        <rFont val="Calibri"/>
        <family val="2"/>
      </rPr>
      <t>(Continued)</t>
    </r>
  </si>
  <si>
    <t>Total Business In Force :</t>
  </si>
  <si>
    <t xml:space="preserve"> 31,388,261</t>
  </si>
  <si>
    <t xml:space="preserve"> 623,830,824</t>
  </si>
  <si>
    <t xml:space="preserve"> 22,719,466</t>
  </si>
  <si>
    <t>Number of Policies as % of Population</t>
  </si>
  <si>
    <t xml:space="preserve"> 14.33</t>
  </si>
  <si>
    <t xml:space="preserve"> 14.48</t>
  </si>
  <si>
    <t>18.96</t>
  </si>
  <si>
    <t>16.16</t>
  </si>
  <si>
    <t xml:space="preserve"> 43,905,460</t>
  </si>
  <si>
    <t xml:space="preserve"> 53,940,335</t>
  </si>
  <si>
    <t>NON-LIFE INSURANCE &amp; REINSURANCE DATA</t>
  </si>
  <si>
    <t xml:space="preserve"> 16,872,072</t>
  </si>
  <si>
    <t>Net Premium (Million Rp) :</t>
  </si>
  <si>
    <t>Total</t>
  </si>
  <si>
    <t xml:space="preserve"> 7,217,318</t>
  </si>
  <si>
    <t>Property</t>
  </si>
  <si>
    <t xml:space="preserve"> 1,575,006</t>
  </si>
  <si>
    <t>Motor</t>
  </si>
  <si>
    <t xml:space="preserve"> 3,117,632</t>
  </si>
  <si>
    <t>Cargo</t>
  </si>
  <si>
    <t>Marine Hull</t>
  </si>
  <si>
    <t>Aviation</t>
  </si>
  <si>
    <t>Satellite</t>
  </si>
  <si>
    <t>Energy-Onshore</t>
  </si>
  <si>
    <t>Energy-Offshore</t>
  </si>
  <si>
    <t>Engineering</t>
  </si>
  <si>
    <t>Liability</t>
  </si>
  <si>
    <t>Personal Accident &amp; Health</t>
  </si>
  <si>
    <t>Credit &amp; Surety Bond</t>
  </si>
  <si>
    <t>Others</t>
  </si>
  <si>
    <t>Retention Ratio (%) :</t>
  </si>
  <si>
    <t>Incurred Loss Ratios (%) ** :</t>
  </si>
  <si>
    <t xml:space="preserve"> 1,963,75</t>
  </si>
  <si>
    <t>Engineering:</t>
  </si>
  <si>
    <t>Personal Accident &amp; Health:</t>
  </si>
  <si>
    <t>Credit &amp; Surety Bond:</t>
  </si>
  <si>
    <t xml:space="preserve">       Credit Insurance</t>
  </si>
  <si>
    <t xml:space="preserve">       Surety Bond</t>
  </si>
  <si>
    <t>Earned Premium</t>
  </si>
  <si>
    <t>Incurred Claim</t>
  </si>
  <si>
    <t xml:space="preserve"> 3,813,180</t>
  </si>
  <si>
    <t>Net Commission</t>
  </si>
  <si>
    <t xml:space="preserve"> 1,608,631</t>
  </si>
  <si>
    <t>Underwriting Profit</t>
  </si>
  <si>
    <t xml:space="preserve"> 3,404,137</t>
  </si>
  <si>
    <t>Management Expense</t>
  </si>
  <si>
    <t xml:space="preserve"> 2,403,958</t>
  </si>
  <si>
    <t>Underwriting Profit as % of Earned Premium</t>
  </si>
  <si>
    <t xml:space="preserve"> 1,527,777</t>
  </si>
  <si>
    <t>SOCIAL INSURANCE PROGRAM &amp; WORKERS SOCIAL SECURITY</t>
  </si>
  <si>
    <t>Premium Written</t>
  </si>
  <si>
    <t xml:space="preserve"> 2,379,794</t>
  </si>
  <si>
    <t>Technical Reserve</t>
  </si>
  <si>
    <t xml:space="preserve"> 37,119,953</t>
  </si>
  <si>
    <t>Annual Benefit</t>
  </si>
  <si>
    <t xml:space="preserve"> 1,219,453</t>
  </si>
  <si>
    <t>Total Assets</t>
  </si>
  <si>
    <t xml:space="preserve"> 40,246,830</t>
  </si>
  <si>
    <t>CIVIL SERVANTS &amp; ARMED FORCES / POLICE</t>
  </si>
  <si>
    <t xml:space="preserve"> 4,606,036</t>
  </si>
  <si>
    <t xml:space="preserve"> 19,748,464</t>
  </si>
  <si>
    <t xml:space="preserve"> 5,444,815</t>
  </si>
  <si>
    <t xml:space="preserve"> 22,825,992</t>
  </si>
  <si>
    <t>Agen Companies</t>
  </si>
  <si>
    <t>Gross Pre Konv</t>
  </si>
  <si>
    <t>syariah</t>
  </si>
  <si>
    <t>source lap operasional</t>
  </si>
  <si>
    <t>Total Assets (Trillion Rp)</t>
  </si>
  <si>
    <t>Annual Premium  (Trillion Rp)</t>
  </si>
  <si>
    <r>
      <t xml:space="preserve">KEY INDICATORS </t>
    </r>
    <r>
      <rPr>
        <i/>
        <sz val="11"/>
        <color indexed="8"/>
        <rFont val="Bookman Old Style"/>
        <family val="1"/>
      </rPr>
      <t>(Continued)</t>
    </r>
  </si>
  <si>
    <t>Population (Trillion  Rp)*</t>
  </si>
  <si>
    <t>Total Industry Asset (Trillion  Rp)</t>
  </si>
  <si>
    <t>Sum Insured (Trillion Rp)</t>
  </si>
  <si>
    <t>Annual Premium (Trillion Rp)</t>
  </si>
  <si>
    <t>Premium Reserves (Trillion  Rp)</t>
  </si>
  <si>
    <t>Total Assets (Trillion  Rp)</t>
  </si>
  <si>
    <t>Sum Insured (Trillion  Rp)</t>
  </si>
  <si>
    <t>Annual Premium (Trillion  Rp)</t>
  </si>
  <si>
    <t>Gross Premium (Trillion  Rp)*</t>
  </si>
  <si>
    <t>Underwriting Surplus (Trillion  Rp)</t>
  </si>
  <si>
    <t>Net Investment Income (Trillion  Rp)</t>
  </si>
  <si>
    <t>Net Profit (Trillion  Rp)</t>
  </si>
  <si>
    <t>(Trillion  Rp)</t>
  </si>
  <si>
    <t>Net Premium (Billion  Rp) :</t>
  </si>
  <si>
    <t xml:space="preserve"> 107 405 572</t>
  </si>
  <si>
    <t xml:space="preserve"> 108 207 767</t>
  </si>
  <si>
    <t xml:space="preserve"> 111 281 744</t>
  </si>
  <si>
    <t xml:space="preserve"> 109 670 399</t>
  </si>
  <si>
    <t xml:space="preserve"> 112 802 805</t>
  </si>
  <si>
    <t xml:space="preserve"> 110 808 154</t>
  </si>
  <si>
    <t xml:space="preserve"> 114 021 189</t>
  </si>
  <si>
    <t xml:space="preserve"> 107 405 572 </t>
  </si>
  <si>
    <t xml:space="preserve"> 108 207 767 </t>
  </si>
  <si>
    <t xml:space="preserve"> 111 281 744 </t>
  </si>
  <si>
    <t xml:space="preserve"> 109 670 399 </t>
  </si>
  <si>
    <t xml:space="preserve"> 112 802 805 </t>
  </si>
  <si>
    <t xml:space="preserve"> 110 808 154 </t>
  </si>
  <si>
    <t xml:space="preserve"> 114 021 189 </t>
  </si>
  <si>
    <t xml:space="preserve">113 833 280 </t>
  </si>
  <si>
    <t xml:space="preserve"> 115 998 062 </t>
  </si>
  <si>
    <t xml:space="preserve"> 116 527 546 </t>
  </si>
  <si>
    <t xml:space="preserve"> 119 399 375 </t>
  </si>
  <si>
    <t xml:space="preserve"> 117 370 485 </t>
  </si>
  <si>
    <t xml:space="preserve"> 120 417 046 </t>
  </si>
  <si>
    <t xml:space="preserve"> 118 053 110</t>
  </si>
  <si>
    <t>Premium Reserves (Trillion Rp)</t>
  </si>
  <si>
    <t>Gross Premium (Trillion Rp)*</t>
  </si>
  <si>
    <t>Underwriting Surplus (Trillion Rp)</t>
  </si>
  <si>
    <t>Net Investment Income (Trillion Rp)</t>
  </si>
  <si>
    <t>Net Profit (Trillion Rp)</t>
  </si>
  <si>
    <t>Total Industry Asset (Trillion)</t>
  </si>
  <si>
    <t>(4)</t>
  </si>
  <si>
    <t>(3)</t>
  </si>
  <si>
    <t>BPJS</t>
  </si>
  <si>
    <t>Total Asset</t>
  </si>
  <si>
    <t>DJS</t>
  </si>
  <si>
    <t>Operational Income</t>
  </si>
  <si>
    <t>Operational Expense</t>
  </si>
  <si>
    <t>Contribution Income</t>
  </si>
  <si>
    <t xml:space="preserve">             Credit</t>
  </si>
  <si>
    <t xml:space="preserve">            Surety Bond:</t>
  </si>
  <si>
    <t>Social Insurance</t>
  </si>
  <si>
    <t>N/A</t>
  </si>
  <si>
    <t>MANDATORY INSURANCE</t>
  </si>
  <si>
    <t xml:space="preserve">SOCIAL INSURANCE </t>
  </si>
  <si>
    <t>Annual Surplus</t>
  </si>
  <si>
    <t>At Current Market Price (Trillion Rp)</t>
  </si>
  <si>
    <t>At year 2010 Market Price (Trillion  Rp)**</t>
  </si>
  <si>
    <t>(5)</t>
  </si>
  <si>
    <t>(6)</t>
  </si>
  <si>
    <t>Companies Administering Insurance for Civil Servants and Armed Forces / Police.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</si>
</sst>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43" formatCode="_-* #,##0.00_-;\-* #,##0.00_-;_-* &quot;-&quot;??_-;_-@_-"/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0_);\(0\)"/>
    <numFmt numFmtId="169" formatCode="_(* #,##0.0_);_(* \(#,##0.0\);_(* &quot;-&quot;_);_(@_)"/>
    <numFmt numFmtId="170" formatCode="_(* #,##0.0_);_(* \(#,##0.0\);_(* &quot;-&quot;?_);_(@_)"/>
    <numFmt numFmtId="171" formatCode="_(* #,##0.00_);_(* \(#,##0.00\);_(* &quot;-&quot;_);_(@_)"/>
    <numFmt numFmtId="172" formatCode="_(* #,##0.00_);_(* \(#,##0.00\);_(* &quot;-&quot;?_);_(@_)"/>
    <numFmt numFmtId="173" formatCode="0.0"/>
    <numFmt numFmtId="174" formatCode="0.00_)"/>
    <numFmt numFmtId="175" formatCode="_([$€-2]* #,##0.00_);_([$€-2]* \(#,##0.00\);_([$€-2]* &quot;-&quot;??_)"/>
    <numFmt numFmtId="176" formatCode="#,##0;[Red]\(#,##0\)"/>
    <numFmt numFmtId="177" formatCode="###\ ###\ ####"/>
    <numFmt numFmtId="178" formatCode="#,##0.00;\(#,##0\)"/>
    <numFmt numFmtId="179" formatCode="##,###,##0.00"/>
    <numFmt numFmtId="180" formatCode="_(* #,##0.00000_);_(* \(#,##0.00000\);_(* &quot;-&quot;_);_(@_)"/>
    <numFmt numFmtId="181" formatCode="_(* #,##0.0000_);_(* \(#,##0.0000\);_(* &quot;-&quot;_);_(@_)"/>
  </numFmts>
  <fonts count="58">
    <font>
      <sz val="11"/>
      <name val="SWISS"/>
    </font>
    <font>
      <sz val="11"/>
      <color theme="1"/>
      <name val="Calibri"/>
      <family val="2"/>
      <charset val="1"/>
      <scheme val="minor"/>
    </font>
    <font>
      <b/>
      <u/>
      <sz val="12"/>
      <name val="Arial"/>
      <family val="2"/>
    </font>
    <font>
      <sz val="12"/>
      <name val="Arial"/>
      <family val="2"/>
    </font>
    <font>
      <b/>
      <i/>
      <sz val="12"/>
      <name val="Arial"/>
      <family val="2"/>
    </font>
    <font>
      <sz val="12"/>
      <name val="SWISS"/>
    </font>
    <font>
      <b/>
      <i/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  <font>
      <sz val="10"/>
      <name val="Verdana"/>
      <family val="2"/>
    </font>
    <font>
      <b/>
      <i/>
      <sz val="12"/>
      <color rgb="FFFF0000"/>
      <name val="Calibri"/>
      <family val="2"/>
    </font>
    <font>
      <i/>
      <sz val="12"/>
      <color rgb="FFFF0000"/>
      <name val="Calibri"/>
      <family val="2"/>
    </font>
    <font>
      <sz val="12"/>
      <color rgb="FFFF0000"/>
      <name val="Calibri"/>
      <family val="2"/>
    </font>
    <font>
      <sz val="12"/>
      <name val="Calibri"/>
      <family val="2"/>
    </font>
    <font>
      <sz val="12"/>
      <name val="Arial Narrow"/>
      <family val="2"/>
    </font>
    <font>
      <i/>
      <sz val="12"/>
      <color indexed="8"/>
      <name val="Calibri"/>
      <family val="2"/>
    </font>
    <font>
      <b/>
      <i/>
      <sz val="12"/>
      <name val="Calibri"/>
      <family val="2"/>
    </font>
    <font>
      <i/>
      <sz val="12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b/>
      <i/>
      <sz val="16"/>
      <name val="Helv"/>
      <family val="2"/>
    </font>
    <font>
      <b/>
      <u/>
      <sz val="11"/>
      <name val="Bookman Old Style"/>
      <family val="1"/>
    </font>
    <font>
      <sz val="11"/>
      <name val="Bookman Old Style"/>
      <family val="1"/>
    </font>
    <font>
      <b/>
      <i/>
      <sz val="11"/>
      <name val="Bookman Old Style"/>
      <family val="1"/>
    </font>
    <font>
      <b/>
      <i/>
      <sz val="11"/>
      <color rgb="FF000000"/>
      <name val="Bookman Old Style"/>
      <family val="1"/>
    </font>
    <font>
      <b/>
      <sz val="11"/>
      <color rgb="FF000000"/>
      <name val="Bookman Old Style"/>
      <family val="1"/>
    </font>
    <font>
      <sz val="11"/>
      <color rgb="FF000000"/>
      <name val="Bookman Old Style"/>
      <family val="1"/>
    </font>
    <font>
      <i/>
      <sz val="11"/>
      <color rgb="FF000000"/>
      <name val="Bookman Old Style"/>
      <family val="1"/>
    </font>
    <font>
      <b/>
      <i/>
      <sz val="11"/>
      <color rgb="FFFF0000"/>
      <name val="Bookman Old Style"/>
      <family val="1"/>
    </font>
    <font>
      <i/>
      <sz val="11"/>
      <color rgb="FFFF0000"/>
      <name val="Bookman Old Style"/>
      <family val="1"/>
    </font>
    <font>
      <sz val="11"/>
      <color rgb="FFFF0000"/>
      <name val="Bookman Old Style"/>
      <family val="1"/>
    </font>
    <font>
      <sz val="11"/>
      <color theme="1"/>
      <name val="Bookman Old Style"/>
      <family val="1"/>
    </font>
    <font>
      <i/>
      <sz val="11"/>
      <color indexed="8"/>
      <name val="Bookman Old Style"/>
      <family val="1"/>
    </font>
    <font>
      <i/>
      <sz val="11"/>
      <name val="Bookman Old Style"/>
      <family val="1"/>
    </font>
    <font>
      <b/>
      <i/>
      <sz val="10"/>
      <color rgb="FF000000"/>
      <name val="Bookman Old Style"/>
      <family val="1"/>
    </font>
    <font>
      <b/>
      <sz val="11"/>
      <color rgb="FFFF0000"/>
      <name val="Bookman Old Style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name val="新細明體"/>
      <family val="2"/>
      <charset val="136"/>
    </font>
    <font>
      <b/>
      <sz val="12"/>
      <name val="Times New Roman"/>
      <family val="1"/>
    </font>
    <font>
      <b/>
      <i/>
      <sz val="16"/>
      <name val="Helv"/>
    </font>
    <font>
      <sz val="10"/>
      <name val="MS Sans Serif"/>
      <family val="2"/>
    </font>
    <font>
      <sz val="10"/>
      <color indexed="8"/>
      <name val="MS Sans Serif"/>
      <family val="2"/>
    </font>
    <font>
      <sz val="11"/>
      <name val="Century Gothic"/>
      <family val="2"/>
    </font>
    <font>
      <sz val="12"/>
      <name val="SWISS"/>
      <family val="2"/>
    </font>
    <font>
      <sz val="10"/>
      <color indexed="8"/>
      <name val="Arial"/>
      <family val="2"/>
    </font>
    <font>
      <sz val="10"/>
      <name val="Tahoma"/>
      <family val="2"/>
    </font>
    <font>
      <u/>
      <sz val="10.45"/>
      <color indexed="12"/>
      <name val="SWISS"/>
    </font>
    <font>
      <sz val="12"/>
      <name val="Tms Rmn"/>
    </font>
    <font>
      <sz val="9"/>
      <color theme="1"/>
      <name val="Comic Sans MS"/>
      <family val="2"/>
      <charset val="1"/>
    </font>
    <font>
      <sz val="12"/>
      <color theme="1"/>
      <name val="Calibri"/>
      <family val="2"/>
    </font>
    <font>
      <sz val="12"/>
      <color theme="0"/>
      <name val="Calibri"/>
      <family val="2"/>
    </font>
    <font>
      <sz val="11"/>
      <name val="SWISS"/>
    </font>
    <font>
      <sz val="11"/>
      <color indexed="8"/>
      <name val="Calibri"/>
      <family val="2"/>
    </font>
    <font>
      <i/>
      <sz val="12"/>
      <color theme="1"/>
      <name val="Calibri"/>
      <family val="2"/>
    </font>
    <font>
      <sz val="12"/>
      <color theme="1"/>
      <name val="SWISS"/>
    </font>
  </fonts>
  <fills count="10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</borders>
  <cellStyleXfs count="290">
    <xf numFmtId="0" fontId="0" fillId="0" borderId="0"/>
    <xf numFmtId="165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7" fontId="21" fillId="0" borderId="0" applyFont="0" applyFill="0" applyBorder="0" applyAlignment="0" applyProtection="0"/>
    <xf numFmtId="174" fontId="22" fillId="0" borderId="0"/>
    <xf numFmtId="0" fontId="21" fillId="0" borderId="0"/>
    <xf numFmtId="0" fontId="38" fillId="0" borderId="0"/>
    <xf numFmtId="167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9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38" fillId="0" borderId="0"/>
    <xf numFmtId="0" fontId="3" fillId="0" borderId="0"/>
    <xf numFmtId="167" fontId="40" fillId="0" borderId="0" applyFont="0" applyFill="0" applyBorder="0" applyAlignment="0" applyProtection="0"/>
    <xf numFmtId="165" fontId="40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1" fillId="0" borderId="14">
      <alignment horizontal="center"/>
    </xf>
    <xf numFmtId="0" fontId="41" fillId="0" borderId="15">
      <alignment horizontal="center"/>
    </xf>
    <xf numFmtId="165" fontId="40" fillId="0" borderId="0" applyFont="0" applyFill="0" applyBorder="0" applyAlignment="0" applyProtection="0"/>
    <xf numFmtId="39" fontId="21" fillId="0" borderId="16" applyFont="0" applyFill="0" applyAlignment="0">
      <protection locked="0"/>
    </xf>
    <xf numFmtId="39" fontId="21" fillId="0" borderId="16" applyFont="0" applyFill="0" applyAlignment="0">
      <protection locked="0"/>
    </xf>
    <xf numFmtId="167" fontId="21" fillId="0" borderId="0" applyFont="0" applyFill="0" applyBorder="0" applyAlignment="0" applyProtection="0"/>
    <xf numFmtId="167" fontId="40" fillId="0" borderId="0" applyFont="0" applyFill="0" applyBorder="0" applyAlignment="0" applyProtection="0"/>
    <xf numFmtId="167" fontId="40" fillId="0" borderId="0" applyFont="0" applyFill="0" applyBorder="0" applyAlignment="0" applyProtection="0"/>
    <xf numFmtId="0" fontId="3" fillId="0" borderId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40" fillId="0" borderId="0" applyFont="0" applyFill="0" applyBorder="0" applyAlignment="0" applyProtection="0"/>
    <xf numFmtId="167" fontId="40" fillId="0" borderId="0" applyFont="0" applyFill="0" applyBorder="0" applyAlignment="0" applyProtection="0"/>
    <xf numFmtId="167" fontId="40" fillId="0" borderId="0" applyFont="0" applyFill="0" applyBorder="0" applyAlignment="0" applyProtection="0"/>
    <xf numFmtId="167" fontId="40" fillId="0" borderId="0" applyFont="0" applyFill="0" applyBorder="0" applyAlignment="0" applyProtection="0"/>
    <xf numFmtId="167" fontId="40" fillId="0" borderId="0" applyFont="0" applyFill="0" applyBorder="0" applyAlignment="0" applyProtection="0"/>
    <xf numFmtId="164" fontId="40" fillId="0" borderId="0" applyFont="0" applyFill="0" applyBorder="0" applyAlignment="0" applyProtection="0"/>
    <xf numFmtId="174" fontId="42" fillId="0" borderId="0"/>
    <xf numFmtId="0" fontId="5" fillId="0" borderId="0"/>
    <xf numFmtId="0" fontId="21" fillId="0" borderId="0"/>
    <xf numFmtId="0" fontId="5" fillId="0" borderId="0"/>
    <xf numFmtId="0" fontId="21" fillId="0" borderId="0"/>
    <xf numFmtId="0" fontId="3" fillId="0" borderId="0"/>
    <xf numFmtId="9" fontId="40" fillId="0" borderId="0" applyFont="0" applyFill="0" applyBorder="0" applyAlignment="0" applyProtection="0"/>
    <xf numFmtId="9" fontId="21" fillId="0" borderId="17" applyFont="0" applyFill="0" applyAlignment="0" applyProtection="0"/>
    <xf numFmtId="9" fontId="21" fillId="0" borderId="17" applyFont="0" applyFill="0" applyAlignment="0" applyProtection="0"/>
    <xf numFmtId="0" fontId="1" fillId="0" borderId="0"/>
    <xf numFmtId="165" fontId="1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1" fillId="0" borderId="0"/>
    <xf numFmtId="40" fontId="43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39" fillId="0" borderId="0" applyFont="0" applyFill="0" applyBorder="0" applyAlignment="0" applyProtection="0"/>
    <xf numFmtId="0" fontId="43" fillId="0" borderId="0"/>
    <xf numFmtId="0" fontId="44" fillId="0" borderId="0"/>
    <xf numFmtId="0" fontId="21" fillId="0" borderId="0"/>
    <xf numFmtId="0" fontId="21" fillId="0" borderId="0"/>
    <xf numFmtId="0" fontId="1" fillId="0" borderId="0"/>
    <xf numFmtId="9" fontId="43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167" fontId="40" fillId="0" borderId="0" applyFont="0" applyFill="0" applyBorder="0" applyAlignment="0" applyProtection="0"/>
    <xf numFmtId="167" fontId="40" fillId="0" borderId="0" applyFont="0" applyFill="0" applyBorder="0" applyAlignment="0" applyProtection="0"/>
    <xf numFmtId="0" fontId="3" fillId="0" borderId="0"/>
    <xf numFmtId="0" fontId="3" fillId="0" borderId="0"/>
    <xf numFmtId="167" fontId="40" fillId="0" borderId="0" applyFont="0" applyFill="0" applyBorder="0" applyAlignment="0" applyProtection="0"/>
    <xf numFmtId="165" fontId="40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3" fillId="0" borderId="0"/>
    <xf numFmtId="167" fontId="40" fillId="0" borderId="0" applyFont="0" applyFill="0" applyBorder="0" applyAlignment="0" applyProtection="0"/>
    <xf numFmtId="0" fontId="45" fillId="0" borderId="0"/>
    <xf numFmtId="0" fontId="45" fillId="0" borderId="0"/>
    <xf numFmtId="167" fontId="21" fillId="0" borderId="0" applyFont="0" applyFill="0" applyBorder="0" applyAlignment="0" applyProtection="0"/>
    <xf numFmtId="0" fontId="45" fillId="0" borderId="0"/>
    <xf numFmtId="167" fontId="40" fillId="0" borderId="0" applyFont="0" applyFill="0" applyBorder="0" applyAlignment="0" applyProtection="0"/>
    <xf numFmtId="167" fontId="40" fillId="0" borderId="0" applyFont="0" applyFill="0" applyBorder="0" applyAlignment="0" applyProtection="0"/>
    <xf numFmtId="0" fontId="3" fillId="0" borderId="0"/>
    <xf numFmtId="167" fontId="4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7" fontId="40" fillId="0" borderId="0" applyFont="0" applyFill="0" applyBorder="0" applyAlignment="0" applyProtection="0"/>
    <xf numFmtId="0" fontId="3" fillId="0" borderId="0"/>
    <xf numFmtId="0" fontId="3" fillId="0" borderId="0"/>
    <xf numFmtId="167" fontId="40" fillId="0" borderId="0" applyFont="0" applyFill="0" applyBorder="0" applyAlignment="0" applyProtection="0"/>
    <xf numFmtId="0" fontId="3" fillId="0" borderId="0"/>
    <xf numFmtId="167" fontId="21" fillId="0" borderId="0" applyFont="0" applyFill="0" applyBorder="0" applyAlignment="0" applyProtection="0"/>
    <xf numFmtId="0" fontId="45" fillId="0" borderId="0"/>
    <xf numFmtId="167" fontId="21" fillId="0" borderId="0" applyFont="0" applyFill="0" applyBorder="0" applyAlignment="0" applyProtection="0"/>
    <xf numFmtId="0" fontId="45" fillId="0" borderId="0"/>
    <xf numFmtId="167" fontId="21" fillId="0" borderId="0" applyFont="0" applyFill="0" applyBorder="0" applyAlignment="0" applyProtection="0"/>
    <xf numFmtId="0" fontId="45" fillId="0" borderId="0"/>
    <xf numFmtId="167" fontId="21" fillId="0" borderId="0" applyFont="0" applyFill="0" applyBorder="0" applyAlignment="0" applyProtection="0"/>
    <xf numFmtId="0" fontId="45" fillId="0" borderId="0"/>
    <xf numFmtId="167" fontId="21" fillId="0" borderId="0" applyFont="0" applyFill="0" applyBorder="0" applyAlignment="0" applyProtection="0"/>
    <xf numFmtId="0" fontId="45" fillId="0" borderId="0"/>
    <xf numFmtId="167" fontId="21" fillId="0" borderId="0" applyFont="0" applyFill="0" applyBorder="0" applyAlignment="0" applyProtection="0"/>
    <xf numFmtId="0" fontId="45" fillId="0" borderId="0"/>
    <xf numFmtId="167" fontId="21" fillId="0" borderId="0" applyFont="0" applyFill="0" applyBorder="0" applyAlignment="0" applyProtection="0"/>
    <xf numFmtId="0" fontId="4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167" fontId="40" fillId="0" borderId="0" applyFont="0" applyFill="0" applyBorder="0" applyAlignment="0" applyProtection="0"/>
    <xf numFmtId="165" fontId="21" fillId="0" borderId="16" applyFont="0" applyFill="0" applyAlignment="0">
      <protection locked="0"/>
    </xf>
    <xf numFmtId="0" fontId="3" fillId="0" borderId="0"/>
    <xf numFmtId="167" fontId="40" fillId="0" borderId="0" applyFont="0" applyFill="0" applyBorder="0" applyAlignment="0" applyProtection="0"/>
    <xf numFmtId="0" fontId="3" fillId="0" borderId="0"/>
    <xf numFmtId="167" fontId="4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5" fillId="0" borderId="0" applyNumberFormat="0" applyFill="0" applyBorder="0" applyAlignment="0" applyProtection="0"/>
    <xf numFmtId="0" fontId="41" fillId="0" borderId="14">
      <alignment horizontal="center"/>
    </xf>
    <xf numFmtId="0" fontId="41" fillId="0" borderId="14">
      <alignment horizontal="center"/>
    </xf>
    <xf numFmtId="0" fontId="41" fillId="0" borderId="15">
      <alignment horizontal="center"/>
    </xf>
    <xf numFmtId="0" fontId="41" fillId="0" borderId="15">
      <alignment horizontal="center"/>
    </xf>
    <xf numFmtId="167" fontId="40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48" fillId="0" borderId="0" applyFont="0" applyFill="0" applyBorder="0" applyAlignment="0" applyProtection="0"/>
    <xf numFmtId="175" fontId="21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0" fontId="46" fillId="0" borderId="0"/>
    <xf numFmtId="0" fontId="21" fillId="0" borderId="0"/>
    <xf numFmtId="0" fontId="5" fillId="0" borderId="0"/>
    <xf numFmtId="0" fontId="5" fillId="0" borderId="0"/>
    <xf numFmtId="0" fontId="1" fillId="0" borderId="0"/>
    <xf numFmtId="9" fontId="2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167" fontId="5" fillId="0" borderId="0" applyFont="0" applyFill="0" applyBorder="0" applyAlignment="0" applyProtection="0"/>
    <xf numFmtId="0" fontId="50" fillId="0" borderId="0"/>
    <xf numFmtId="0" fontId="50" fillId="0" borderId="0"/>
    <xf numFmtId="0" fontId="50" fillId="0" borderId="0"/>
    <xf numFmtId="176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50" fillId="0" borderId="0"/>
    <xf numFmtId="0" fontId="50" fillId="0" borderId="0"/>
    <xf numFmtId="0" fontId="39" fillId="0" borderId="0"/>
    <xf numFmtId="0" fontId="21" fillId="0" borderId="0"/>
    <xf numFmtId="178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5" fillId="0" borderId="0"/>
    <xf numFmtId="165" fontId="21" fillId="0" borderId="16" applyFont="0" applyFill="0" applyAlignment="0">
      <protection locked="0"/>
    </xf>
    <xf numFmtId="38" fontId="43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47" fillId="0" borderId="0">
      <alignment vertical="top"/>
    </xf>
    <xf numFmtId="0" fontId="1" fillId="0" borderId="0"/>
    <xf numFmtId="0" fontId="39" fillId="0" borderId="0"/>
    <xf numFmtId="9" fontId="21" fillId="0" borderId="17" applyFont="0" applyFill="0" applyAlignment="0" applyProtection="0"/>
    <xf numFmtId="0" fontId="3" fillId="0" borderId="0"/>
    <xf numFmtId="9" fontId="21" fillId="0" borderId="17" applyFont="0" applyFill="0" applyAlignment="0" applyProtection="0"/>
    <xf numFmtId="9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1" fillId="0" borderId="0"/>
    <xf numFmtId="0" fontId="51" fillId="0" borderId="0"/>
    <xf numFmtId="167" fontId="51" fillId="0" borderId="0" applyFont="0" applyFill="0" applyBorder="0" applyAlignment="0" applyProtection="0"/>
    <xf numFmtId="9" fontId="21" fillId="0" borderId="17" applyFont="0" applyFill="0" applyAlignment="0" applyProtection="0"/>
    <xf numFmtId="167" fontId="51" fillId="0" borderId="0" applyFont="0" applyFill="0" applyBorder="0" applyAlignment="0" applyProtection="0"/>
    <xf numFmtId="0" fontId="51" fillId="0" borderId="0"/>
    <xf numFmtId="0" fontId="1" fillId="0" borderId="0"/>
    <xf numFmtId="167" fontId="51" fillId="0" borderId="0" applyFont="0" applyFill="0" applyBorder="0" applyAlignment="0" applyProtection="0"/>
    <xf numFmtId="9" fontId="21" fillId="0" borderId="17" applyFont="0" applyFill="0" applyAlignment="0" applyProtection="0"/>
    <xf numFmtId="0" fontId="51" fillId="0" borderId="0"/>
    <xf numFmtId="0" fontId="51" fillId="0" borderId="0"/>
    <xf numFmtId="0" fontId="51" fillId="0" borderId="0"/>
    <xf numFmtId="0" fontId="21" fillId="0" borderId="0"/>
    <xf numFmtId="165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39" fillId="0" borderId="0"/>
    <xf numFmtId="167" fontId="51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9" fontId="51" fillId="0" borderId="0" applyFont="0" applyFill="0" applyBorder="0" applyAlignment="0" applyProtection="0"/>
    <xf numFmtId="0" fontId="39" fillId="0" borderId="0"/>
    <xf numFmtId="167" fontId="5" fillId="0" borderId="0" applyFont="0" applyFill="0" applyBorder="0" applyAlignment="0" applyProtection="0"/>
    <xf numFmtId="0" fontId="51" fillId="0" borderId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0" fontId="51" fillId="0" borderId="0"/>
    <xf numFmtId="0" fontId="51" fillId="0" borderId="0"/>
    <xf numFmtId="0" fontId="51" fillId="0" borderId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0" fontId="51" fillId="0" borderId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167" fontId="51" fillId="0" borderId="0" applyFont="0" applyFill="0" applyBorder="0" applyAlignment="0" applyProtection="0"/>
    <xf numFmtId="167" fontId="51" fillId="0" borderId="0" applyFont="0" applyFill="0" applyBorder="0" applyAlignment="0" applyProtection="0"/>
    <xf numFmtId="0" fontId="51" fillId="0" borderId="0"/>
    <xf numFmtId="0" fontId="5" fillId="0" borderId="0"/>
    <xf numFmtId="0" fontId="1" fillId="0" borderId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" fillId="0" borderId="0"/>
    <xf numFmtId="167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67" fontId="5" fillId="0" borderId="0" applyFont="0" applyFill="0" applyBorder="0" applyAlignment="0" applyProtection="0"/>
    <xf numFmtId="0" fontId="1" fillId="0" borderId="0"/>
    <xf numFmtId="0" fontId="3" fillId="0" borderId="0"/>
    <xf numFmtId="167" fontId="40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0" fontId="45" fillId="0" borderId="0"/>
    <xf numFmtId="0" fontId="45" fillId="0" borderId="0"/>
    <xf numFmtId="0" fontId="3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59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7" fillId="2" borderId="1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vertical="top" wrapText="1"/>
    </xf>
    <xf numFmtId="168" fontId="7" fillId="2" borderId="2" xfId="0" applyNumberFormat="1" applyFont="1" applyFill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justify" vertical="top" wrapText="1"/>
    </xf>
    <xf numFmtId="0" fontId="9" fillId="0" borderId="4" xfId="0" applyFont="1" applyBorder="1" applyAlignment="1">
      <alignment vertical="top" wrapText="1"/>
    </xf>
    <xf numFmtId="0" fontId="6" fillId="0" borderId="4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12" fillId="0" borderId="4" xfId="0" applyFont="1" applyBorder="1" applyAlignment="1">
      <alignment horizontal="justify" vertical="top" wrapText="1"/>
    </xf>
    <xf numFmtId="0" fontId="12" fillId="0" borderId="4" xfId="0" applyFont="1" applyBorder="1" applyAlignment="1">
      <alignment horizontal="center" vertical="top" wrapText="1"/>
    </xf>
    <xf numFmtId="0" fontId="6" fillId="3" borderId="4" xfId="0" applyFont="1" applyFill="1" applyBorder="1" applyAlignment="1">
      <alignment wrapText="1"/>
    </xf>
    <xf numFmtId="0" fontId="9" fillId="0" borderId="5" xfId="0" applyFont="1" applyBorder="1" applyAlignment="1">
      <alignment horizontal="center" vertical="top" wrapText="1"/>
    </xf>
    <xf numFmtId="0" fontId="9" fillId="0" borderId="5" xfId="0" applyFont="1" applyBorder="1" applyAlignment="1">
      <alignment horizontal="justify" vertical="top" wrapText="1"/>
    </xf>
    <xf numFmtId="0" fontId="9" fillId="0" borderId="5" xfId="0" applyFont="1" applyBorder="1" applyAlignment="1">
      <alignment vertical="top" wrapText="1"/>
    </xf>
    <xf numFmtId="0" fontId="9" fillId="0" borderId="6" xfId="0" applyFont="1" applyBorder="1" applyAlignment="1">
      <alignment horizontal="center" vertical="top" wrapText="1"/>
    </xf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wrapText="1"/>
    </xf>
    <xf numFmtId="0" fontId="15" fillId="0" borderId="0" xfId="0" applyFont="1" applyAlignment="1">
      <alignment wrapText="1"/>
    </xf>
    <xf numFmtId="0" fontId="7" fillId="2" borderId="9" xfId="0" applyFont="1" applyFill="1" applyBorder="1" applyAlignment="1">
      <alignment horizontal="center" vertical="top" wrapText="1"/>
    </xf>
    <xf numFmtId="168" fontId="7" fillId="2" borderId="9" xfId="0" applyNumberFormat="1" applyFont="1" applyFill="1" applyBorder="1" applyAlignment="1">
      <alignment horizontal="center" vertical="top" wrapText="1"/>
    </xf>
    <xf numFmtId="0" fontId="8" fillId="0" borderId="10" xfId="0" applyFont="1" applyBorder="1" applyAlignment="1">
      <alignment horizontal="center" vertical="top" wrapText="1"/>
    </xf>
    <xf numFmtId="0" fontId="5" fillId="0" borderId="10" xfId="0" applyFont="1" applyBorder="1"/>
    <xf numFmtId="0" fontId="8" fillId="0" borderId="4" xfId="0" applyFont="1" applyBorder="1" applyAlignment="1">
      <alignment horizontal="center" vertical="top" wrapText="1"/>
    </xf>
    <xf numFmtId="37" fontId="14" fillId="0" borderId="4" xfId="0" applyNumberFormat="1" applyFont="1" applyBorder="1" applyAlignment="1">
      <alignment wrapText="1"/>
    </xf>
    <xf numFmtId="171" fontId="14" fillId="0" borderId="4" xfId="1" applyNumberFormat="1" applyFont="1" applyBorder="1" applyAlignment="1">
      <alignment wrapText="1"/>
    </xf>
    <xf numFmtId="0" fontId="8" fillId="0" borderId="4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justify" vertical="top" wrapText="1"/>
    </xf>
    <xf numFmtId="0" fontId="8" fillId="0" borderId="0" xfId="0" applyFont="1" applyAlignment="1">
      <alignment horizontal="justify" vertical="top" wrapText="1"/>
    </xf>
    <xf numFmtId="0" fontId="9" fillId="0" borderId="0" xfId="0" applyFont="1" applyAlignment="1">
      <alignment horizontal="justify" vertical="top" wrapText="1"/>
    </xf>
    <xf numFmtId="0" fontId="9" fillId="0" borderId="0" xfId="0" applyFont="1" applyAlignment="1">
      <alignment vertical="top" wrapText="1"/>
    </xf>
    <xf numFmtId="171" fontId="14" fillId="0" borderId="0" xfId="1" applyNumberFormat="1" applyFont="1" applyBorder="1" applyAlignment="1">
      <alignment wrapText="1"/>
    </xf>
    <xf numFmtId="37" fontId="14" fillId="0" borderId="0" xfId="0" applyNumberFormat="1" applyFont="1" applyAlignment="1">
      <alignment wrapText="1"/>
    </xf>
    <xf numFmtId="0" fontId="8" fillId="0" borderId="10" xfId="0" applyFont="1" applyBorder="1" applyAlignment="1">
      <alignment horizontal="justify" vertical="top" wrapText="1"/>
    </xf>
    <xf numFmtId="0" fontId="9" fillId="0" borderId="10" xfId="0" applyFont="1" applyBorder="1" applyAlignment="1">
      <alignment horizontal="justify" vertical="top" wrapText="1"/>
    </xf>
    <xf numFmtId="37" fontId="14" fillId="0" borderId="10" xfId="0" applyNumberFormat="1" applyFont="1" applyBorder="1" applyAlignment="1">
      <alignment wrapText="1"/>
    </xf>
    <xf numFmtId="0" fontId="8" fillId="3" borderId="4" xfId="0" applyFont="1" applyFill="1" applyBorder="1" applyAlignment="1">
      <alignment horizontal="justify" vertical="top" wrapText="1"/>
    </xf>
    <xf numFmtId="0" fontId="14" fillId="3" borderId="4" xfId="0" applyFont="1" applyFill="1" applyBorder="1" applyAlignment="1">
      <alignment horizontal="justify" vertical="top" wrapText="1"/>
    </xf>
    <xf numFmtId="0" fontId="14" fillId="0" borderId="4" xfId="0" applyFont="1" applyBorder="1" applyAlignment="1">
      <alignment horizontal="justify" vertical="top" wrapText="1"/>
    </xf>
    <xf numFmtId="0" fontId="14" fillId="0" borderId="11" xfId="0" applyFont="1" applyBorder="1" applyAlignment="1">
      <alignment horizontal="justify" vertical="top" wrapText="1"/>
    </xf>
    <xf numFmtId="0" fontId="18" fillId="0" borderId="11" xfId="0" applyFont="1" applyBorder="1" applyAlignment="1">
      <alignment horizontal="justify" vertical="top" wrapText="1"/>
    </xf>
    <xf numFmtId="0" fontId="14" fillId="0" borderId="11" xfId="0" applyFont="1" applyBorder="1" applyAlignment="1">
      <alignment horizontal="right" wrapText="1"/>
    </xf>
    <xf numFmtId="0" fontId="9" fillId="0" borderId="4" xfId="0" applyFont="1" applyBorder="1" applyAlignment="1">
      <alignment horizontal="left" vertical="top" wrapText="1"/>
    </xf>
    <xf numFmtId="165" fontId="5" fillId="0" borderId="0" xfId="1" applyFont="1"/>
    <xf numFmtId="0" fontId="23" fillId="0" borderId="0" xfId="0" applyFont="1" applyAlignment="1">
      <alignment horizontal="left"/>
    </xf>
    <xf numFmtId="0" fontId="24" fillId="0" borderId="0" xfId="0" applyFont="1" applyAlignment="1">
      <alignment horizontal="center"/>
    </xf>
    <xf numFmtId="0" fontId="24" fillId="0" borderId="0" xfId="0" applyFont="1"/>
    <xf numFmtId="0" fontId="25" fillId="0" borderId="0" xfId="0" applyFont="1" applyAlignment="1">
      <alignment horizontal="left"/>
    </xf>
    <xf numFmtId="0" fontId="24" fillId="0" borderId="0" xfId="0" applyFont="1" applyAlignment="1">
      <alignment horizontal="right"/>
    </xf>
    <xf numFmtId="0" fontId="27" fillId="2" borderId="1" xfId="0" applyFont="1" applyFill="1" applyBorder="1" applyAlignment="1">
      <alignment horizontal="center" wrapText="1"/>
    </xf>
    <xf numFmtId="0" fontId="26" fillId="2" borderId="2" xfId="0" applyFont="1" applyFill="1" applyBorder="1" applyAlignment="1">
      <alignment horizontal="center" vertical="top" wrapText="1"/>
    </xf>
    <xf numFmtId="0" fontId="26" fillId="2" borderId="2" xfId="0" quotePrefix="1" applyFont="1" applyFill="1" applyBorder="1" applyAlignment="1">
      <alignment horizontal="center" vertical="top" wrapText="1"/>
    </xf>
    <xf numFmtId="168" fontId="27" fillId="2" borderId="2" xfId="0" applyNumberFormat="1" applyFont="1" applyFill="1" applyBorder="1" applyAlignment="1">
      <alignment horizontal="center" vertical="top" wrapText="1"/>
    </xf>
    <xf numFmtId="0" fontId="26" fillId="0" borderId="3" xfId="0" applyFont="1" applyBorder="1" applyAlignment="1">
      <alignment horizontal="center" vertical="top" wrapText="1"/>
    </xf>
    <xf numFmtId="0" fontId="28" fillId="0" borderId="3" xfId="0" applyFont="1" applyBorder="1" applyAlignment="1">
      <alignment horizontal="right" wrapText="1"/>
    </xf>
    <xf numFmtId="0" fontId="28" fillId="0" borderId="3" xfId="0" applyFont="1" applyBorder="1" applyAlignment="1">
      <alignment wrapText="1"/>
    </xf>
    <xf numFmtId="0" fontId="29" fillId="0" borderId="3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justify" vertical="top" wrapText="1"/>
    </xf>
    <xf numFmtId="0" fontId="29" fillId="0" borderId="3" xfId="0" applyFont="1" applyBorder="1" applyAlignment="1">
      <alignment vertical="top" wrapText="1"/>
    </xf>
    <xf numFmtId="0" fontId="29" fillId="0" borderId="4" xfId="0" applyFont="1" applyBorder="1" applyAlignment="1">
      <alignment horizontal="center" vertical="top" wrapText="1"/>
    </xf>
    <xf numFmtId="0" fontId="29" fillId="0" borderId="4" xfId="0" applyFont="1" applyBorder="1" applyAlignment="1">
      <alignment horizontal="justify" vertical="top" wrapText="1"/>
    </xf>
    <xf numFmtId="0" fontId="29" fillId="0" borderId="4" xfId="0" applyFont="1" applyBorder="1" applyAlignment="1">
      <alignment vertical="top" wrapText="1"/>
    </xf>
    <xf numFmtId="169" fontId="28" fillId="0" borderId="4" xfId="1" applyNumberFormat="1" applyFont="1" applyBorder="1" applyAlignment="1">
      <alignment horizontal="right" wrapText="1"/>
    </xf>
    <xf numFmtId="0" fontId="28" fillId="0" borderId="4" xfId="0" applyFont="1" applyBorder="1" applyAlignment="1">
      <alignment horizontal="right" wrapText="1"/>
    </xf>
    <xf numFmtId="10" fontId="28" fillId="0" borderId="4" xfId="2" applyNumberFormat="1" applyFont="1" applyBorder="1" applyAlignment="1">
      <alignment horizontal="right" wrapText="1"/>
    </xf>
    <xf numFmtId="2" fontId="28" fillId="0" borderId="4" xfId="0" applyNumberFormat="1" applyFont="1" applyBorder="1" applyAlignment="1">
      <alignment horizontal="right" wrapText="1"/>
    </xf>
    <xf numFmtId="170" fontId="24" fillId="0" borderId="0" xfId="0" applyNumberFormat="1" applyFont="1"/>
    <xf numFmtId="10" fontId="24" fillId="0" borderId="0" xfId="2" applyNumberFormat="1" applyFont="1"/>
    <xf numFmtId="0" fontId="26" fillId="0" borderId="4" xfId="0" applyFont="1" applyBorder="1" applyAlignment="1">
      <alignment horizontal="center" vertical="top" wrapText="1"/>
    </xf>
    <xf numFmtId="2" fontId="24" fillId="0" borderId="0" xfId="0" applyNumberFormat="1" applyFont="1"/>
    <xf numFmtId="0" fontId="29" fillId="0" borderId="4" xfId="0" applyFont="1" applyBorder="1" applyAlignment="1">
      <alignment horizontal="right" wrapText="1"/>
    </xf>
    <xf numFmtId="165" fontId="28" fillId="0" borderId="4" xfId="1" applyFont="1" applyBorder="1" applyAlignment="1">
      <alignment horizontal="right" wrapText="1"/>
    </xf>
    <xf numFmtId="0" fontId="28" fillId="4" borderId="0" xfId="0" applyFont="1" applyFill="1" applyAlignment="1">
      <alignment horizontal="right" vertical="top" wrapText="1"/>
    </xf>
    <xf numFmtId="0" fontId="28" fillId="4" borderId="0" xfId="0" applyFont="1" applyFill="1" applyAlignment="1">
      <alignment horizontal="center" vertical="top" wrapText="1"/>
    </xf>
    <xf numFmtId="0" fontId="28" fillId="0" borderId="4" xfId="0" applyFont="1" applyBorder="1" applyAlignment="1">
      <alignment wrapText="1"/>
    </xf>
    <xf numFmtId="165" fontId="28" fillId="0" borderId="4" xfId="1" applyFont="1" applyBorder="1" applyAlignment="1">
      <alignment wrapText="1"/>
    </xf>
    <xf numFmtId="0" fontId="30" fillId="0" borderId="4" xfId="0" applyFont="1" applyBorder="1" applyAlignment="1">
      <alignment horizontal="center" vertical="top" wrapText="1"/>
    </xf>
    <xf numFmtId="0" fontId="31" fillId="0" borderId="4" xfId="0" applyFont="1" applyBorder="1" applyAlignment="1">
      <alignment horizontal="justify" vertical="top" wrapText="1"/>
    </xf>
    <xf numFmtId="0" fontId="32" fillId="0" borderId="4" xfId="0" applyFont="1" applyBorder="1" applyAlignment="1">
      <alignment horizontal="right" wrapText="1"/>
    </xf>
    <xf numFmtId="0" fontId="32" fillId="0" borderId="4" xfId="0" applyFont="1" applyBorder="1" applyAlignment="1">
      <alignment wrapText="1"/>
    </xf>
    <xf numFmtId="0" fontId="31" fillId="0" borderId="4" xfId="0" applyFont="1" applyBorder="1" applyAlignment="1">
      <alignment horizontal="center" vertical="top" wrapText="1"/>
    </xf>
    <xf numFmtId="0" fontId="29" fillId="0" borderId="4" xfId="0" applyFont="1" applyBorder="1" applyAlignment="1">
      <alignment horizontal="left" vertical="top" wrapText="1"/>
    </xf>
    <xf numFmtId="165" fontId="32" fillId="0" borderId="4" xfId="1" applyFont="1" applyBorder="1" applyAlignment="1">
      <alignment wrapText="1"/>
    </xf>
    <xf numFmtId="165" fontId="28" fillId="0" borderId="4" xfId="1" applyFont="1" applyBorder="1" applyAlignment="1">
      <alignment horizontal="right" vertical="center" wrapText="1"/>
    </xf>
    <xf numFmtId="171" fontId="28" fillId="0" borderId="4" xfId="1" applyNumberFormat="1" applyFont="1" applyFill="1" applyBorder="1" applyAlignment="1">
      <alignment wrapText="1"/>
    </xf>
    <xf numFmtId="172" fontId="28" fillId="0" borderId="4" xfId="0" applyNumberFormat="1" applyFont="1" applyBorder="1" applyAlignment="1">
      <alignment wrapText="1"/>
    </xf>
    <xf numFmtId="0" fontId="26" fillId="3" borderId="4" xfId="0" applyFont="1" applyFill="1" applyBorder="1" applyAlignment="1">
      <alignment wrapText="1"/>
    </xf>
    <xf numFmtId="165" fontId="24" fillId="5" borderId="0" xfId="1" applyFont="1" applyFill="1"/>
    <xf numFmtId="0" fontId="24" fillId="5" borderId="0" xfId="0" applyFont="1" applyFill="1"/>
    <xf numFmtId="0" fontId="28" fillId="0" borderId="4" xfId="0" applyFont="1" applyBorder="1" applyAlignment="1">
      <alignment horizontal="center" vertical="top" wrapText="1"/>
    </xf>
    <xf numFmtId="165" fontId="24" fillId="0" borderId="4" xfId="1" applyFont="1" applyBorder="1" applyAlignment="1">
      <alignment horizontal="right" wrapText="1"/>
    </xf>
    <xf numFmtId="37" fontId="24" fillId="0" borderId="4" xfId="0" applyNumberFormat="1" applyFont="1" applyBorder="1" applyAlignment="1">
      <alignment wrapText="1"/>
    </xf>
    <xf numFmtId="0" fontId="24" fillId="0" borderId="4" xfId="0" applyFont="1" applyBorder="1" applyAlignment="1">
      <alignment horizontal="right" wrapText="1"/>
    </xf>
    <xf numFmtId="0" fontId="28" fillId="0" borderId="4" xfId="0" applyFont="1" applyBorder="1" applyAlignment="1">
      <alignment horizontal="justify" vertical="top" wrapText="1"/>
    </xf>
    <xf numFmtId="0" fontId="28" fillId="3" borderId="4" xfId="0" applyFont="1" applyFill="1" applyBorder="1" applyAlignment="1">
      <alignment horizontal="justify" vertical="top" wrapText="1"/>
    </xf>
    <xf numFmtId="0" fontId="26" fillId="7" borderId="4" xfId="0" applyFont="1" applyFill="1" applyBorder="1" applyAlignment="1">
      <alignment wrapText="1"/>
    </xf>
    <xf numFmtId="0" fontId="24" fillId="3" borderId="4" xfId="0" applyFont="1" applyFill="1" applyBorder="1" applyAlignment="1">
      <alignment horizontal="justify" vertical="top" wrapText="1"/>
    </xf>
    <xf numFmtId="0" fontId="25" fillId="3" borderId="4" xfId="0" applyFont="1" applyFill="1" applyBorder="1" applyAlignment="1">
      <alignment wrapText="1"/>
    </xf>
    <xf numFmtId="0" fontId="24" fillId="0" borderId="4" xfId="0" applyFont="1" applyBorder="1" applyAlignment="1">
      <alignment horizontal="justify" vertical="top" wrapText="1"/>
    </xf>
    <xf numFmtId="0" fontId="35" fillId="0" borderId="4" xfId="0" applyFont="1" applyBorder="1" applyAlignment="1">
      <alignment horizontal="justify" vertical="top" wrapText="1"/>
    </xf>
    <xf numFmtId="0" fontId="35" fillId="0" borderId="4" xfId="0" applyFont="1" applyBorder="1" applyAlignment="1">
      <alignment vertical="top" wrapText="1"/>
    </xf>
    <xf numFmtId="0" fontId="24" fillId="0" borderId="11" xfId="0" applyFont="1" applyBorder="1" applyAlignment="1">
      <alignment horizontal="justify" vertical="top" wrapText="1"/>
    </xf>
    <xf numFmtId="0" fontId="35" fillId="0" borderId="11" xfId="0" applyFont="1" applyBorder="1" applyAlignment="1">
      <alignment horizontal="justify" vertical="top" wrapText="1"/>
    </xf>
    <xf numFmtId="0" fontId="24" fillId="0" borderId="11" xfId="0" applyFont="1" applyBorder="1" applyAlignment="1">
      <alignment horizontal="right" wrapText="1"/>
    </xf>
    <xf numFmtId="171" fontId="28" fillId="0" borderId="4" xfId="1" applyNumberFormat="1" applyFont="1" applyBorder="1" applyAlignment="1">
      <alignment horizontal="right" vertical="center" wrapText="1"/>
    </xf>
    <xf numFmtId="171" fontId="28" fillId="0" borderId="4" xfId="0" applyNumberFormat="1" applyFont="1" applyBorder="1" applyAlignment="1">
      <alignment vertical="center" wrapText="1"/>
    </xf>
    <xf numFmtId="171" fontId="28" fillId="0" borderId="4" xfId="1" applyNumberFormat="1" applyFont="1" applyBorder="1" applyAlignment="1">
      <alignment horizontal="right" wrapText="1"/>
    </xf>
    <xf numFmtId="171" fontId="24" fillId="0" borderId="4" xfId="1" applyNumberFormat="1" applyFont="1" applyBorder="1" applyAlignment="1">
      <alignment horizontal="right" wrapText="1"/>
    </xf>
    <xf numFmtId="171" fontId="24" fillId="0" borderId="4" xfId="0" applyNumberFormat="1" applyFont="1" applyBorder="1" applyAlignment="1">
      <alignment wrapText="1"/>
    </xf>
    <xf numFmtId="171" fontId="24" fillId="0" borderId="0" xfId="0" applyNumberFormat="1" applyFont="1"/>
    <xf numFmtId="171" fontId="28" fillId="0" borderId="4" xfId="0" applyNumberFormat="1" applyFont="1" applyBorder="1" applyAlignment="1">
      <alignment horizontal="right" wrapText="1"/>
    </xf>
    <xf numFmtId="171" fontId="8" fillId="0" borderId="4" xfId="0" applyNumberFormat="1" applyFont="1" applyBorder="1" applyAlignment="1">
      <alignment horizontal="right" wrapText="1"/>
    </xf>
    <xf numFmtId="171" fontId="28" fillId="0" borderId="4" xfId="2" applyNumberFormat="1" applyFont="1" applyBorder="1" applyAlignment="1">
      <alignment horizontal="right" wrapText="1"/>
    </xf>
    <xf numFmtId="3" fontId="28" fillId="0" borderId="4" xfId="0" applyNumberFormat="1" applyFont="1" applyBorder="1" applyAlignment="1">
      <alignment horizontal="right" wrapText="1"/>
    </xf>
    <xf numFmtId="0" fontId="29" fillId="5" borderId="4" xfId="0" applyFont="1" applyFill="1" applyBorder="1" applyAlignment="1">
      <alignment horizontal="center" vertical="top" wrapText="1"/>
    </xf>
    <xf numFmtId="0" fontId="26" fillId="5" borderId="4" xfId="0" applyFont="1" applyFill="1" applyBorder="1" applyAlignment="1">
      <alignment wrapText="1"/>
    </xf>
    <xf numFmtId="0" fontId="29" fillId="5" borderId="4" xfId="0" applyFont="1" applyFill="1" applyBorder="1" applyAlignment="1">
      <alignment horizontal="justify" vertical="top" wrapText="1"/>
    </xf>
    <xf numFmtId="0" fontId="28" fillId="5" borderId="4" xfId="0" applyFont="1" applyFill="1" applyBorder="1" applyAlignment="1">
      <alignment horizontal="right" wrapText="1"/>
    </xf>
    <xf numFmtId="0" fontId="28" fillId="5" borderId="4" xfId="0" applyFont="1" applyFill="1" applyBorder="1" applyAlignment="1">
      <alignment wrapText="1"/>
    </xf>
    <xf numFmtId="0" fontId="29" fillId="5" borderId="4" xfId="0" applyFont="1" applyFill="1" applyBorder="1" applyAlignment="1">
      <alignment vertical="top" wrapText="1"/>
    </xf>
    <xf numFmtId="165" fontId="28" fillId="5" borderId="4" xfId="1" applyFont="1" applyFill="1" applyBorder="1" applyAlignment="1">
      <alignment horizontal="right" wrapText="1"/>
    </xf>
    <xf numFmtId="165" fontId="24" fillId="5" borderId="4" xfId="1" applyFont="1" applyFill="1" applyBorder="1" applyAlignment="1">
      <alignment horizontal="right" wrapText="1"/>
    </xf>
    <xf numFmtId="37" fontId="24" fillId="5" borderId="4" xfId="0" applyNumberFormat="1" applyFont="1" applyFill="1" applyBorder="1" applyAlignment="1">
      <alignment wrapText="1"/>
    </xf>
    <xf numFmtId="3" fontId="24" fillId="5" borderId="0" xfId="0" applyNumberFormat="1" applyFont="1" applyFill="1"/>
    <xf numFmtId="3" fontId="33" fillId="5" borderId="0" xfId="0" applyNumberFormat="1" applyFont="1" applyFill="1"/>
    <xf numFmtId="171" fontId="28" fillId="5" borderId="4" xfId="1" applyNumberFormat="1" applyFont="1" applyFill="1" applyBorder="1" applyAlignment="1">
      <alignment horizontal="right" wrapText="1"/>
    </xf>
    <xf numFmtId="171" fontId="24" fillId="5" borderId="4" xfId="1" applyNumberFormat="1" applyFont="1" applyFill="1" applyBorder="1" applyAlignment="1">
      <alignment horizontal="right" wrapText="1"/>
    </xf>
    <xf numFmtId="171" fontId="24" fillId="5" borderId="4" xfId="0" applyNumberFormat="1" applyFont="1" applyFill="1" applyBorder="1" applyAlignment="1">
      <alignment wrapText="1"/>
    </xf>
    <xf numFmtId="0" fontId="29" fillId="5" borderId="5" xfId="0" applyFont="1" applyFill="1" applyBorder="1" applyAlignment="1">
      <alignment horizontal="center" vertical="top" wrapText="1"/>
    </xf>
    <xf numFmtId="0" fontId="29" fillId="5" borderId="5" xfId="0" applyFont="1" applyFill="1" applyBorder="1" applyAlignment="1">
      <alignment horizontal="justify" vertical="top" wrapText="1"/>
    </xf>
    <xf numFmtId="0" fontId="29" fillId="5" borderId="5" xfId="0" applyFont="1" applyFill="1" applyBorder="1" applyAlignment="1">
      <alignment vertical="top" wrapText="1"/>
    </xf>
    <xf numFmtId="0" fontId="28" fillId="5" borderId="5" xfId="0" applyFont="1" applyFill="1" applyBorder="1" applyAlignment="1">
      <alignment horizontal="right" wrapText="1"/>
    </xf>
    <xf numFmtId="165" fontId="28" fillId="5" borderId="5" xfId="1" applyFont="1" applyFill="1" applyBorder="1" applyAlignment="1">
      <alignment horizontal="right" wrapText="1"/>
    </xf>
    <xf numFmtId="171" fontId="28" fillId="5" borderId="5" xfId="1" applyNumberFormat="1" applyFont="1" applyFill="1" applyBorder="1" applyAlignment="1">
      <alignment horizontal="right" wrapText="1"/>
    </xf>
    <xf numFmtId="171" fontId="24" fillId="5" borderId="5" xfId="1" applyNumberFormat="1" applyFont="1" applyFill="1" applyBorder="1" applyAlignment="1">
      <alignment horizontal="right" wrapText="1"/>
    </xf>
    <xf numFmtId="39" fontId="24" fillId="5" borderId="5" xfId="0" applyNumberFormat="1" applyFont="1" applyFill="1" applyBorder="1" applyAlignment="1">
      <alignment wrapText="1"/>
    </xf>
    <xf numFmtId="0" fontId="29" fillId="5" borderId="6" xfId="0" applyFont="1" applyFill="1" applyBorder="1" applyAlignment="1">
      <alignment horizontal="center" vertical="top" wrapText="1"/>
    </xf>
    <xf numFmtId="0" fontId="29" fillId="5" borderId="6" xfId="0" applyFont="1" applyFill="1" applyBorder="1" applyAlignment="1">
      <alignment horizontal="justify" vertical="top" wrapText="1"/>
    </xf>
    <xf numFmtId="0" fontId="28" fillId="5" borderId="6" xfId="0" applyFont="1" applyFill="1" applyBorder="1" applyAlignment="1">
      <alignment horizontal="right" wrapText="1"/>
    </xf>
    <xf numFmtId="0" fontId="28" fillId="5" borderId="7" xfId="0" applyFont="1" applyFill="1" applyBorder="1" applyAlignment="1">
      <alignment horizontal="right" wrapText="1"/>
    </xf>
    <xf numFmtId="0" fontId="28" fillId="5" borderId="7" xfId="0" applyFont="1" applyFill="1" applyBorder="1" applyAlignment="1">
      <alignment wrapText="1"/>
    </xf>
    <xf numFmtId="0" fontId="29" fillId="5" borderId="8" xfId="0" applyFont="1" applyFill="1" applyBorder="1" applyAlignment="1">
      <alignment vertical="top" wrapText="1"/>
    </xf>
    <xf numFmtId="0" fontId="29" fillId="5" borderId="8" xfId="0" applyFont="1" applyFill="1" applyBorder="1" applyAlignment="1">
      <alignment horizontal="right" vertical="top" wrapText="1"/>
    </xf>
    <xf numFmtId="0" fontId="24" fillId="5" borderId="0" xfId="0" applyFont="1" applyFill="1" applyAlignment="1">
      <alignment wrapText="1"/>
    </xf>
    <xf numFmtId="0" fontId="29" fillId="5" borderId="0" xfId="0" applyFont="1" applyFill="1" applyAlignment="1">
      <alignment vertical="top" wrapText="1"/>
    </xf>
    <xf numFmtId="0" fontId="29" fillId="5" borderId="0" xfId="0" applyFont="1" applyFill="1" applyAlignment="1">
      <alignment horizontal="right" vertical="top" wrapText="1"/>
    </xf>
    <xf numFmtId="0" fontId="24" fillId="5" borderId="0" xfId="0" applyFont="1" applyFill="1" applyAlignment="1">
      <alignment horizontal="right"/>
    </xf>
    <xf numFmtId="10" fontId="24" fillId="5" borderId="0" xfId="2" applyNumberFormat="1" applyFont="1" applyFill="1"/>
    <xf numFmtId="0" fontId="27" fillId="5" borderId="9" xfId="0" applyFont="1" applyFill="1" applyBorder="1" applyAlignment="1">
      <alignment horizontal="center" vertical="top" wrapText="1"/>
    </xf>
    <xf numFmtId="168" fontId="27" fillId="5" borderId="9" xfId="0" applyNumberFormat="1" applyFont="1" applyFill="1" applyBorder="1" applyAlignment="1">
      <alignment horizontal="center" vertical="top" wrapText="1"/>
    </xf>
    <xf numFmtId="0" fontId="27" fillId="5" borderId="1" xfId="0" applyFont="1" applyFill="1" applyBorder="1" applyAlignment="1">
      <alignment horizontal="center" wrapText="1"/>
    </xf>
    <xf numFmtId="0" fontId="28" fillId="5" borderId="10" xfId="0" applyFont="1" applyFill="1" applyBorder="1" applyAlignment="1">
      <alignment horizontal="center" vertical="top" wrapText="1"/>
    </xf>
    <xf numFmtId="0" fontId="28" fillId="5" borderId="10" xfId="0" applyFont="1" applyFill="1" applyBorder="1" applyAlignment="1">
      <alignment horizontal="right" wrapText="1"/>
    </xf>
    <xf numFmtId="0" fontId="24" fillId="5" borderId="10" xfId="0" applyFont="1" applyFill="1" applyBorder="1"/>
    <xf numFmtId="0" fontId="28" fillId="5" borderId="4" xfId="0" applyFont="1" applyFill="1" applyBorder="1" applyAlignment="1">
      <alignment horizontal="center" vertical="top" wrapText="1"/>
    </xf>
    <xf numFmtId="0" fontId="24" fillId="5" borderId="4" xfId="0" applyFont="1" applyFill="1" applyBorder="1" applyAlignment="1">
      <alignment horizontal="right" wrapText="1"/>
    </xf>
    <xf numFmtId="39" fontId="24" fillId="5" borderId="4" xfId="0" applyNumberFormat="1" applyFont="1" applyFill="1" applyBorder="1" applyAlignment="1">
      <alignment wrapText="1"/>
    </xf>
    <xf numFmtId="171" fontId="24" fillId="5" borderId="4" xfId="1" applyNumberFormat="1" applyFont="1" applyFill="1" applyBorder="1" applyAlignment="1">
      <alignment wrapText="1"/>
    </xf>
    <xf numFmtId="2" fontId="28" fillId="5" borderId="4" xfId="0" applyNumberFormat="1" applyFont="1" applyFill="1" applyBorder="1" applyAlignment="1">
      <alignment horizontal="right" wrapText="1"/>
    </xf>
    <xf numFmtId="2" fontId="24" fillId="5" borderId="4" xfId="0" applyNumberFormat="1" applyFont="1" applyFill="1" applyBorder="1" applyAlignment="1">
      <alignment wrapText="1"/>
    </xf>
    <xf numFmtId="0" fontId="28" fillId="8" borderId="4" xfId="0" applyFont="1" applyFill="1" applyBorder="1" applyAlignment="1">
      <alignment horizontal="center" vertical="top" wrapText="1"/>
    </xf>
    <xf numFmtId="0" fontId="28" fillId="8" borderId="4" xfId="0" applyFont="1" applyFill="1" applyBorder="1" applyAlignment="1">
      <alignment horizontal="right" wrapText="1"/>
    </xf>
    <xf numFmtId="165" fontId="28" fillId="8" borderId="4" xfId="1" applyFont="1" applyFill="1" applyBorder="1" applyAlignment="1">
      <alignment horizontal="right" wrapText="1"/>
    </xf>
    <xf numFmtId="171" fontId="28" fillId="8" borderId="4" xfId="0" applyNumberFormat="1" applyFont="1" applyFill="1" applyBorder="1" applyAlignment="1">
      <alignment horizontal="right" wrapText="1"/>
    </xf>
    <xf numFmtId="171" fontId="24" fillId="8" borderId="0" xfId="0" applyNumberFormat="1" applyFont="1" applyFill="1"/>
    <xf numFmtId="165" fontId="24" fillId="8" borderId="0" xfId="1" applyFont="1" applyFill="1"/>
    <xf numFmtId="165" fontId="24" fillId="8" borderId="0" xfId="0" applyNumberFormat="1" applyFont="1" applyFill="1"/>
    <xf numFmtId="0" fontId="24" fillId="8" borderId="0" xfId="0" applyFont="1" applyFill="1"/>
    <xf numFmtId="37" fontId="24" fillId="8" borderId="4" xfId="0" applyNumberFormat="1" applyFont="1" applyFill="1" applyBorder="1" applyAlignment="1">
      <alignment wrapText="1"/>
    </xf>
    <xf numFmtId="0" fontId="29" fillId="8" borderId="4" xfId="0" applyFont="1" applyFill="1" applyBorder="1" applyAlignment="1">
      <alignment horizontal="justify" vertical="top" wrapText="1"/>
    </xf>
    <xf numFmtId="0" fontId="29" fillId="8" borderId="4" xfId="0" applyFont="1" applyFill="1" applyBorder="1" applyAlignment="1">
      <alignment vertical="top" wrapText="1"/>
    </xf>
    <xf numFmtId="171" fontId="24" fillId="8" borderId="4" xfId="1" applyNumberFormat="1" applyFont="1" applyFill="1" applyBorder="1" applyAlignment="1">
      <alignment horizontal="right" vertical="top" wrapText="1"/>
    </xf>
    <xf numFmtId="171" fontId="24" fillId="8" borderId="4" xfId="1" applyNumberFormat="1" applyFont="1" applyFill="1" applyBorder="1" applyAlignment="1">
      <alignment horizontal="right" wrapText="1"/>
    </xf>
    <xf numFmtId="171" fontId="24" fillId="8" borderId="4" xfId="0" applyNumberFormat="1" applyFont="1" applyFill="1" applyBorder="1" applyAlignment="1">
      <alignment wrapText="1"/>
    </xf>
    <xf numFmtId="171" fontId="28" fillId="8" borderId="4" xfId="1" applyNumberFormat="1" applyFont="1" applyFill="1" applyBorder="1" applyAlignment="1">
      <alignment horizontal="right" wrapText="1"/>
    </xf>
    <xf numFmtId="173" fontId="28" fillId="8" borderId="4" xfId="0" applyNumberFormat="1" applyFont="1" applyFill="1" applyBorder="1" applyAlignment="1">
      <alignment horizontal="right" wrapText="1"/>
    </xf>
    <xf numFmtId="171" fontId="24" fillId="8" borderId="4" xfId="0" applyNumberFormat="1" applyFont="1" applyFill="1" applyBorder="1" applyAlignment="1">
      <alignment horizontal="right" wrapText="1"/>
    </xf>
    <xf numFmtId="9" fontId="28" fillId="8" borderId="4" xfId="0" applyNumberFormat="1" applyFont="1" applyFill="1" applyBorder="1" applyAlignment="1">
      <alignment horizontal="right" wrapText="1"/>
    </xf>
    <xf numFmtId="9" fontId="24" fillId="8" borderId="4" xfId="2" applyFont="1" applyFill="1" applyBorder="1" applyAlignment="1">
      <alignment wrapText="1"/>
    </xf>
    <xf numFmtId="0" fontId="24" fillId="8" borderId="4" xfId="0" applyFont="1" applyFill="1" applyBorder="1" applyAlignment="1">
      <alignment horizontal="right" wrapText="1"/>
    </xf>
    <xf numFmtId="39" fontId="24" fillId="8" borderId="4" xfId="0" applyNumberFormat="1" applyFont="1" applyFill="1" applyBorder="1" applyAlignment="1">
      <alignment wrapText="1"/>
    </xf>
    <xf numFmtId="171" fontId="24" fillId="8" borderId="4" xfId="1" applyNumberFormat="1" applyFont="1" applyFill="1" applyBorder="1" applyAlignment="1">
      <alignment wrapText="1"/>
    </xf>
    <xf numFmtId="2" fontId="24" fillId="8" borderId="0" xfId="0" applyNumberFormat="1" applyFont="1" applyFill="1"/>
    <xf numFmtId="0" fontId="24" fillId="8" borderId="4" xfId="0" applyFont="1" applyFill="1" applyBorder="1" applyAlignment="1">
      <alignment horizontal="right" vertical="top" wrapText="1"/>
    </xf>
    <xf numFmtId="1" fontId="24" fillId="8" borderId="4" xfId="0" applyNumberFormat="1" applyFont="1" applyFill="1" applyBorder="1" applyAlignment="1">
      <alignment horizontal="right" vertical="top" wrapText="1"/>
    </xf>
    <xf numFmtId="1" fontId="24" fillId="8" borderId="4" xfId="0" applyNumberFormat="1" applyFont="1" applyFill="1" applyBorder="1" applyAlignment="1">
      <alignment horizontal="right" wrapText="1"/>
    </xf>
    <xf numFmtId="0" fontId="28" fillId="8" borderId="4" xfId="0" applyFont="1" applyFill="1" applyBorder="1" applyAlignment="1">
      <alignment horizontal="justify" vertical="top" wrapText="1"/>
    </xf>
    <xf numFmtId="0" fontId="28" fillId="8" borderId="5" xfId="0" applyFont="1" applyFill="1" applyBorder="1" applyAlignment="1">
      <alignment horizontal="justify" vertical="top" wrapText="1"/>
    </xf>
    <xf numFmtId="0" fontId="29" fillId="8" borderId="5" xfId="0" applyFont="1" applyFill="1" applyBorder="1" applyAlignment="1">
      <alignment horizontal="justify" vertical="top" wrapText="1"/>
    </xf>
    <xf numFmtId="0" fontId="29" fillId="8" borderId="5" xfId="0" applyFont="1" applyFill="1" applyBorder="1" applyAlignment="1">
      <alignment vertical="top" wrapText="1"/>
    </xf>
    <xf numFmtId="0" fontId="28" fillId="8" borderId="5" xfId="0" applyFont="1" applyFill="1" applyBorder="1" applyAlignment="1">
      <alignment horizontal="right" wrapText="1"/>
    </xf>
    <xf numFmtId="0" fontId="24" fillId="8" borderId="5" xfId="0" applyFont="1" applyFill="1" applyBorder="1" applyAlignment="1">
      <alignment horizontal="right" wrapText="1"/>
    </xf>
    <xf numFmtId="39" fontId="24" fillId="8" borderId="5" xfId="0" applyNumberFormat="1" applyFont="1" applyFill="1" applyBorder="1" applyAlignment="1">
      <alignment wrapText="1"/>
    </xf>
    <xf numFmtId="171" fontId="24" fillId="8" borderId="5" xfId="1" applyNumberFormat="1" applyFont="1" applyFill="1" applyBorder="1" applyAlignment="1">
      <alignment wrapText="1"/>
    </xf>
    <xf numFmtId="0" fontId="28" fillId="8" borderId="0" xfId="0" applyFont="1" applyFill="1" applyAlignment="1">
      <alignment horizontal="justify" vertical="top" wrapText="1"/>
    </xf>
    <xf numFmtId="0" fontId="29" fillId="8" borderId="0" xfId="0" applyFont="1" applyFill="1" applyAlignment="1">
      <alignment horizontal="justify" vertical="top" wrapText="1"/>
    </xf>
    <xf numFmtId="0" fontId="29" fillId="8" borderId="0" xfId="0" applyFont="1" applyFill="1" applyAlignment="1">
      <alignment vertical="top" wrapText="1"/>
    </xf>
    <xf numFmtId="0" fontId="28" fillId="8" borderId="0" xfId="0" applyFont="1" applyFill="1" applyAlignment="1">
      <alignment horizontal="right" wrapText="1"/>
    </xf>
    <xf numFmtId="0" fontId="24" fillId="8" borderId="0" xfId="0" applyFont="1" applyFill="1" applyAlignment="1">
      <alignment horizontal="right" wrapText="1"/>
    </xf>
    <xf numFmtId="39" fontId="24" fillId="8" borderId="0" xfId="0" applyNumberFormat="1" applyFont="1" applyFill="1" applyAlignment="1">
      <alignment wrapText="1"/>
    </xf>
    <xf numFmtId="171" fontId="24" fillId="8" borderId="0" xfId="1" applyNumberFormat="1" applyFont="1" applyFill="1" applyBorder="1" applyAlignment="1">
      <alignment wrapText="1"/>
    </xf>
    <xf numFmtId="0" fontId="24" fillId="8" borderId="0" xfId="0" applyFont="1" applyFill="1" applyAlignment="1">
      <alignment horizontal="right"/>
    </xf>
    <xf numFmtId="37" fontId="24" fillId="8" borderId="0" xfId="0" applyNumberFormat="1" applyFont="1" applyFill="1" applyAlignment="1">
      <alignment wrapText="1"/>
    </xf>
    <xf numFmtId="0" fontId="27" fillId="8" borderId="9" xfId="0" applyFont="1" applyFill="1" applyBorder="1" applyAlignment="1">
      <alignment horizontal="center" vertical="top" wrapText="1"/>
    </xf>
    <xf numFmtId="168" fontId="27" fillId="8" borderId="9" xfId="0" applyNumberFormat="1" applyFont="1" applyFill="1" applyBorder="1" applyAlignment="1">
      <alignment horizontal="center" vertical="top" wrapText="1"/>
    </xf>
    <xf numFmtId="0" fontId="27" fillId="8" borderId="1" xfId="0" applyFont="1" applyFill="1" applyBorder="1" applyAlignment="1">
      <alignment horizontal="center" wrapText="1"/>
    </xf>
    <xf numFmtId="0" fontId="28" fillId="8" borderId="10" xfId="0" applyFont="1" applyFill="1" applyBorder="1" applyAlignment="1">
      <alignment horizontal="justify" vertical="top" wrapText="1"/>
    </xf>
    <xf numFmtId="0" fontId="29" fillId="8" borderId="10" xfId="0" applyFont="1" applyFill="1" applyBorder="1" applyAlignment="1">
      <alignment horizontal="justify" vertical="top" wrapText="1"/>
    </xf>
    <xf numFmtId="0" fontId="28" fillId="8" borderId="10" xfId="0" applyFont="1" applyFill="1" applyBorder="1" applyAlignment="1">
      <alignment horizontal="right" wrapText="1"/>
    </xf>
    <xf numFmtId="37" fontId="24" fillId="8" borderId="10" xfId="0" applyNumberFormat="1" applyFont="1" applyFill="1" applyBorder="1" applyAlignment="1">
      <alignment wrapText="1"/>
    </xf>
    <xf numFmtId="0" fontId="32" fillId="0" borderId="0" xfId="0" applyFont="1" applyAlignment="1">
      <alignment horizontal="center"/>
    </xf>
    <xf numFmtId="0" fontId="32" fillId="0" borderId="0" xfId="0" applyFont="1"/>
    <xf numFmtId="0" fontId="37" fillId="2" borderId="1" xfId="0" applyFont="1" applyFill="1" applyBorder="1" applyAlignment="1">
      <alignment horizontal="center" wrapText="1"/>
    </xf>
    <xf numFmtId="168" fontId="37" fillId="2" borderId="2" xfId="0" applyNumberFormat="1" applyFont="1" applyFill="1" applyBorder="1" applyAlignment="1">
      <alignment horizontal="center" vertical="top" wrapText="1"/>
    </xf>
    <xf numFmtId="171" fontId="32" fillId="0" borderId="4" xfId="1" applyNumberFormat="1" applyFont="1" applyBorder="1" applyAlignment="1">
      <alignment horizontal="right" wrapText="1"/>
    </xf>
    <xf numFmtId="171" fontId="32" fillId="0" borderId="4" xfId="2" applyNumberFormat="1" applyFont="1" applyBorder="1" applyAlignment="1">
      <alignment horizontal="right" wrapText="1"/>
    </xf>
    <xf numFmtId="10" fontId="32" fillId="0" borderId="4" xfId="2" applyNumberFormat="1" applyFont="1" applyBorder="1" applyAlignment="1">
      <alignment horizontal="right" wrapText="1"/>
    </xf>
    <xf numFmtId="2" fontId="32" fillId="0" borderId="0" xfId="0" applyNumberFormat="1" applyFont="1"/>
    <xf numFmtId="165" fontId="32" fillId="0" borderId="0" xfId="1" applyFont="1"/>
    <xf numFmtId="171" fontId="32" fillId="0" borderId="0" xfId="1" applyNumberFormat="1" applyFont="1"/>
    <xf numFmtId="0" fontId="30" fillId="5" borderId="4" xfId="0" applyFont="1" applyFill="1" applyBorder="1" applyAlignment="1">
      <alignment wrapText="1"/>
    </xf>
    <xf numFmtId="0" fontId="32" fillId="5" borderId="0" xfId="0" applyFont="1" applyFill="1"/>
    <xf numFmtId="165" fontId="32" fillId="5" borderId="0" xfId="1" applyFont="1" applyFill="1"/>
    <xf numFmtId="2" fontId="32" fillId="5" borderId="0" xfId="0" applyNumberFormat="1" applyFont="1" applyFill="1"/>
    <xf numFmtId="0" fontId="32" fillId="5" borderId="7" xfId="0" applyFont="1" applyFill="1" applyBorder="1" applyAlignment="1">
      <alignment wrapText="1"/>
    </xf>
    <xf numFmtId="2" fontId="32" fillId="5" borderId="4" xfId="0" applyNumberFormat="1" applyFont="1" applyFill="1" applyBorder="1" applyAlignment="1">
      <alignment horizontal="right" wrapText="1"/>
    </xf>
    <xf numFmtId="171" fontId="32" fillId="5" borderId="0" xfId="0" applyNumberFormat="1" applyFont="1" applyFill="1"/>
    <xf numFmtId="171" fontId="32" fillId="0" borderId="0" xfId="0" applyNumberFormat="1" applyFont="1"/>
    <xf numFmtId="0" fontId="32" fillId="3" borderId="0" xfId="0" applyFont="1" applyFill="1"/>
    <xf numFmtId="2" fontId="32" fillId="0" borderId="4" xfId="0" applyNumberFormat="1" applyFont="1" applyBorder="1" applyAlignment="1">
      <alignment horizontal="right" wrapText="1"/>
    </xf>
    <xf numFmtId="171" fontId="32" fillId="8" borderId="0" xfId="0" applyNumberFormat="1" applyFont="1" applyFill="1"/>
    <xf numFmtId="0" fontId="32" fillId="8" borderId="0" xfId="0" applyFont="1" applyFill="1"/>
    <xf numFmtId="9" fontId="32" fillId="8" borderId="0" xfId="2" applyFont="1" applyFill="1"/>
    <xf numFmtId="2" fontId="32" fillId="8" borderId="0" xfId="0" applyNumberFormat="1" applyFont="1" applyFill="1"/>
    <xf numFmtId="171" fontId="32" fillId="8" borderId="5" xfId="1" applyNumberFormat="1" applyFont="1" applyFill="1" applyBorder="1" applyAlignment="1">
      <alignment horizontal="right" wrapText="1"/>
    </xf>
    <xf numFmtId="171" fontId="32" fillId="8" borderId="0" xfId="1" applyNumberFormat="1" applyFont="1" applyFill="1" applyBorder="1" applyAlignment="1">
      <alignment wrapText="1"/>
    </xf>
    <xf numFmtId="37" fontId="32" fillId="8" borderId="0" xfId="0" applyNumberFormat="1" applyFont="1" applyFill="1" applyAlignment="1">
      <alignment wrapText="1"/>
    </xf>
    <xf numFmtId="0" fontId="30" fillId="3" borderId="4" xfId="0" applyFont="1" applyFill="1" applyBorder="1" applyAlignment="1">
      <alignment wrapText="1"/>
    </xf>
    <xf numFmtId="37" fontId="32" fillId="0" borderId="4" xfId="0" applyNumberFormat="1" applyFont="1" applyBorder="1" applyAlignment="1">
      <alignment wrapText="1"/>
    </xf>
    <xf numFmtId="171" fontId="32" fillId="0" borderId="4" xfId="0" applyNumberFormat="1" applyFont="1" applyBorder="1" applyAlignment="1">
      <alignment wrapText="1"/>
    </xf>
    <xf numFmtId="0" fontId="32" fillId="0" borderId="11" xfId="0" applyFont="1" applyBorder="1" applyAlignment="1">
      <alignment horizontal="right" wrapText="1"/>
    </xf>
    <xf numFmtId="0" fontId="24" fillId="9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29" fillId="0" borderId="4" xfId="0" applyFont="1" applyBorder="1" applyAlignment="1">
      <alignment wrapText="1"/>
    </xf>
    <xf numFmtId="165" fontId="28" fillId="0" borderId="4" xfId="1" applyFont="1" applyFill="1" applyBorder="1" applyAlignment="1">
      <alignment wrapText="1"/>
    </xf>
    <xf numFmtId="0" fontId="27" fillId="5" borderId="12" xfId="0" applyFont="1" applyFill="1" applyBorder="1" applyAlignment="1">
      <alignment horizontal="center" wrapText="1"/>
    </xf>
    <xf numFmtId="0" fontId="37" fillId="8" borderId="12" xfId="0" applyFont="1" applyFill="1" applyBorder="1" applyAlignment="1">
      <alignment horizontal="center" wrapText="1"/>
    </xf>
    <xf numFmtId="0" fontId="6" fillId="0" borderId="3" xfId="0" applyFont="1" applyBorder="1" applyAlignment="1">
      <alignment horizontal="center" vertical="top" wrapText="1"/>
    </xf>
    <xf numFmtId="0" fontId="8" fillId="0" borderId="3" xfId="0" applyFont="1" applyBorder="1" applyAlignment="1">
      <alignment wrapText="1"/>
    </xf>
    <xf numFmtId="0" fontId="9" fillId="0" borderId="3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justify" vertical="top" wrapText="1"/>
    </xf>
    <xf numFmtId="0" fontId="9" fillId="0" borderId="3" xfId="0" applyFont="1" applyBorder="1" applyAlignment="1">
      <alignment vertical="top" wrapText="1"/>
    </xf>
    <xf numFmtId="0" fontId="9" fillId="0" borderId="4" xfId="0" applyFont="1" applyBorder="1" applyAlignment="1">
      <alignment horizontal="right" wrapText="1"/>
    </xf>
    <xf numFmtId="0" fontId="9" fillId="0" borderId="4" xfId="0" applyFont="1" applyBorder="1" applyAlignment="1">
      <alignment wrapText="1"/>
    </xf>
    <xf numFmtId="171" fontId="14" fillId="0" borderId="4" xfId="1" applyNumberFormat="1" applyFont="1" applyBorder="1" applyAlignment="1">
      <alignment horizontal="right" wrapText="1"/>
    </xf>
    <xf numFmtId="171" fontId="14" fillId="0" borderId="4" xfId="0" applyNumberFormat="1" applyFont="1" applyBorder="1" applyAlignment="1">
      <alignment horizontal="right" wrapText="1"/>
    </xf>
    <xf numFmtId="171" fontId="14" fillId="0" borderId="4" xfId="0" applyNumberFormat="1" applyFont="1" applyBorder="1" applyAlignment="1">
      <alignment wrapText="1"/>
    </xf>
    <xf numFmtId="171" fontId="5" fillId="0" borderId="0" xfId="0" applyNumberFormat="1" applyFont="1"/>
    <xf numFmtId="171" fontId="8" fillId="0" borderId="4" xfId="0" applyNumberFormat="1" applyFont="1" applyBorder="1" applyAlignment="1">
      <alignment horizontal="justify" vertical="top" wrapText="1"/>
    </xf>
    <xf numFmtId="171" fontId="9" fillId="0" borderId="4" xfId="0" applyNumberFormat="1" applyFont="1" applyBorder="1" applyAlignment="1">
      <alignment vertical="top" wrapText="1"/>
    </xf>
    <xf numFmtId="171" fontId="9" fillId="0" borderId="4" xfId="0" applyNumberFormat="1" applyFont="1" applyBorder="1" applyAlignment="1">
      <alignment horizontal="justify" vertical="top" wrapText="1"/>
    </xf>
    <xf numFmtId="171" fontId="17" fillId="3" borderId="4" xfId="0" applyNumberFormat="1" applyFont="1" applyFill="1" applyBorder="1" applyAlignment="1">
      <alignment wrapText="1"/>
    </xf>
    <xf numFmtId="171" fontId="14" fillId="0" borderId="4" xfId="0" applyNumberFormat="1" applyFont="1" applyBorder="1" applyAlignment="1">
      <alignment horizontal="justify" vertical="top" wrapText="1"/>
    </xf>
    <xf numFmtId="171" fontId="18" fillId="0" borderId="4" xfId="0" applyNumberFormat="1" applyFont="1" applyBorder="1" applyAlignment="1">
      <alignment horizontal="justify" vertical="top" wrapText="1"/>
    </xf>
    <xf numFmtId="171" fontId="18" fillId="0" borderId="4" xfId="0" applyNumberFormat="1" applyFont="1" applyBorder="1" applyAlignment="1">
      <alignment vertical="top" wrapText="1"/>
    </xf>
    <xf numFmtId="171" fontId="14" fillId="0" borderId="4" xfId="1" applyNumberFormat="1" applyFont="1" applyFill="1" applyBorder="1" applyAlignment="1">
      <alignment horizontal="right" wrapText="1"/>
    </xf>
    <xf numFmtId="0" fontId="6" fillId="0" borderId="4" xfId="0" applyFont="1" applyBorder="1" applyAlignment="1">
      <alignment vertical="top"/>
    </xf>
    <xf numFmtId="171" fontId="14" fillId="0" borderId="4" xfId="1" applyNumberFormat="1" applyFont="1" applyFill="1" applyBorder="1" applyAlignment="1">
      <alignment wrapText="1"/>
    </xf>
    <xf numFmtId="168" fontId="7" fillId="2" borderId="12" xfId="0" applyNumberFormat="1" applyFont="1" applyFill="1" applyBorder="1" applyAlignment="1">
      <alignment horizontal="center" vertical="top" wrapText="1"/>
    </xf>
    <xf numFmtId="37" fontId="14" fillId="0" borderId="4" xfId="0" applyNumberFormat="1" applyFont="1" applyBorder="1" applyAlignment="1">
      <alignment horizontal="right" wrapText="1"/>
    </xf>
    <xf numFmtId="39" fontId="14" fillId="0" borderId="4" xfId="0" applyNumberFormat="1" applyFont="1" applyBorder="1" applyAlignment="1">
      <alignment horizontal="right" wrapText="1"/>
    </xf>
    <xf numFmtId="40" fontId="14" fillId="0" borderId="0" xfId="0" applyNumberFormat="1" applyFont="1" applyAlignment="1">
      <alignment horizontal="right" wrapText="1"/>
    </xf>
    <xf numFmtId="37" fontId="14" fillId="0" borderId="0" xfId="0" applyNumberFormat="1" applyFont="1" applyAlignment="1">
      <alignment horizontal="right" wrapText="1"/>
    </xf>
    <xf numFmtId="0" fontId="8" fillId="0" borderId="13" xfId="0" applyFont="1" applyBorder="1" applyAlignment="1">
      <alignment horizontal="center" vertical="top" wrapText="1"/>
    </xf>
    <xf numFmtId="0" fontId="9" fillId="0" borderId="13" xfId="0" applyFont="1" applyBorder="1" applyAlignment="1">
      <alignment horizontal="justify" vertical="top" wrapText="1"/>
    </xf>
    <xf numFmtId="37" fontId="14" fillId="0" borderId="13" xfId="0" applyNumberFormat="1" applyFont="1" applyBorder="1" applyAlignment="1">
      <alignment wrapText="1"/>
    </xf>
    <xf numFmtId="0" fontId="8" fillId="0" borderId="3" xfId="0" applyFont="1" applyBorder="1" applyAlignment="1">
      <alignment horizontal="center" vertical="top" wrapText="1"/>
    </xf>
    <xf numFmtId="37" fontId="14" fillId="0" borderId="3" xfId="0" applyNumberFormat="1" applyFont="1" applyBorder="1" applyAlignment="1">
      <alignment wrapText="1"/>
    </xf>
    <xf numFmtId="171" fontId="5" fillId="0" borderId="0" xfId="0" applyNumberFormat="1" applyFont="1" applyAlignment="1">
      <alignment horizontal="right"/>
    </xf>
    <xf numFmtId="171" fontId="14" fillId="0" borderId="0" xfId="1" applyNumberFormat="1" applyFont="1" applyFill="1" applyBorder="1" applyAlignment="1">
      <alignment horizontal="right" wrapText="1"/>
    </xf>
    <xf numFmtId="0" fontId="7" fillId="2" borderId="2" xfId="0" quotePrefix="1" applyFont="1" applyFill="1" applyBorder="1" applyAlignment="1">
      <alignment horizontal="center" vertical="top" wrapText="1"/>
    </xf>
    <xf numFmtId="171" fontId="8" fillId="0" borderId="4" xfId="1" applyNumberFormat="1" applyFont="1" applyFill="1" applyBorder="1" applyAlignment="1">
      <alignment wrapText="1"/>
    </xf>
    <xf numFmtId="171" fontId="8" fillId="0" borderId="4" xfId="0" applyNumberFormat="1" applyFont="1" applyBorder="1" applyAlignment="1">
      <alignment wrapText="1"/>
    </xf>
    <xf numFmtId="171" fontId="14" fillId="0" borderId="0" xfId="1" applyNumberFormat="1" applyFont="1" applyFill="1" applyAlignment="1"/>
    <xf numFmtId="171" fontId="13" fillId="0" borderId="4" xfId="0" applyNumberFormat="1" applyFont="1" applyBorder="1" applyAlignment="1">
      <alignment wrapText="1"/>
    </xf>
    <xf numFmtId="165" fontId="8" fillId="0" borderId="4" xfId="0" applyNumberFormat="1" applyFont="1" applyBorder="1" applyAlignment="1">
      <alignment wrapText="1"/>
    </xf>
    <xf numFmtId="165" fontId="14" fillId="0" borderId="0" xfId="0" applyNumberFormat="1" applyFont="1"/>
    <xf numFmtId="171" fontId="14" fillId="0" borderId="0" xfId="0" applyNumberFormat="1" applyFont="1" applyAlignment="1">
      <alignment horizontal="right" wrapText="1"/>
    </xf>
    <xf numFmtId="3" fontId="5" fillId="0" borderId="0" xfId="0" applyNumberFormat="1" applyFont="1"/>
    <xf numFmtId="171" fontId="14" fillId="0" borderId="0" xfId="1" applyNumberFormat="1" applyFont="1" applyBorder="1" applyAlignment="1">
      <alignment horizontal="right" wrapText="1"/>
    </xf>
    <xf numFmtId="171" fontId="14" fillId="0" borderId="0" xfId="0" applyNumberFormat="1" applyFont="1" applyAlignment="1">
      <alignment horizontal="right"/>
    </xf>
    <xf numFmtId="0" fontId="14" fillId="0" borderId="0" xfId="0" applyFont="1" applyAlignment="1">
      <alignment horizontal="right"/>
    </xf>
    <xf numFmtId="171" fontId="14" fillId="0" borderId="5" xfId="1" applyNumberFormat="1" applyFont="1" applyBorder="1" applyAlignment="1">
      <alignment horizontal="right" wrapText="1"/>
    </xf>
    <xf numFmtId="165" fontId="8" fillId="0" borderId="4" xfId="1" applyFont="1" applyFill="1" applyBorder="1" applyAlignment="1">
      <alignment wrapText="1"/>
    </xf>
    <xf numFmtId="0" fontId="6" fillId="6" borderId="4" xfId="0" applyFont="1" applyFill="1" applyBorder="1" applyAlignment="1">
      <alignment horizontal="left" wrapText="1"/>
    </xf>
    <xf numFmtId="171" fontId="8" fillId="0" borderId="4" xfId="0" applyNumberFormat="1" applyFont="1" applyBorder="1" applyAlignment="1">
      <alignment vertical="center" wrapText="1"/>
    </xf>
    <xf numFmtId="0" fontId="6" fillId="0" borderId="4" xfId="0" applyFont="1" applyBorder="1" applyAlignment="1">
      <alignment horizontal="justify" vertical="top" wrapText="1"/>
    </xf>
    <xf numFmtId="0" fontId="9" fillId="0" borderId="4" xfId="0" applyFont="1" applyBorder="1" applyAlignment="1">
      <alignment horizontal="left" vertical="top" wrapText="1" indent="1"/>
    </xf>
    <xf numFmtId="171" fontId="8" fillId="0" borderId="0" xfId="1" applyNumberFormat="1" applyFont="1" applyFill="1" applyBorder="1" applyAlignment="1">
      <alignment wrapText="1"/>
    </xf>
    <xf numFmtId="171" fontId="6" fillId="0" borderId="4" xfId="0" applyNumberFormat="1" applyFont="1" applyBorder="1" applyAlignment="1">
      <alignment wrapText="1"/>
    </xf>
    <xf numFmtId="171" fontId="52" fillId="0" borderId="4" xfId="1" applyNumberFormat="1" applyFont="1" applyBorder="1" applyAlignment="1">
      <alignment horizontal="right" wrapText="1"/>
    </xf>
    <xf numFmtId="171" fontId="14" fillId="0" borderId="4" xfId="0" applyNumberFormat="1" applyFont="1" applyBorder="1" applyAlignment="1">
      <alignment vertical="center" wrapText="1"/>
    </xf>
    <xf numFmtId="10" fontId="8" fillId="0" borderId="4" xfId="2" applyNumberFormat="1" applyFont="1" applyFill="1" applyBorder="1" applyAlignment="1">
      <alignment wrapText="1"/>
    </xf>
    <xf numFmtId="10" fontId="14" fillId="0" borderId="4" xfId="2" applyNumberFormat="1" applyFont="1" applyBorder="1" applyAlignment="1">
      <alignment wrapText="1"/>
    </xf>
    <xf numFmtId="39" fontId="14" fillId="0" borderId="0" xfId="0" applyNumberFormat="1" applyFont="1" applyAlignment="1">
      <alignment horizontal="right" wrapText="1"/>
    </xf>
    <xf numFmtId="180" fontId="5" fillId="0" borderId="0" xfId="1" applyNumberFormat="1" applyFont="1" applyFill="1" applyAlignment="1"/>
    <xf numFmtId="10" fontId="53" fillId="0" borderId="4" xfId="2" applyNumberFormat="1" applyFont="1" applyBorder="1" applyAlignment="1">
      <alignment wrapText="1"/>
    </xf>
    <xf numFmtId="171" fontId="13" fillId="0" borderId="4" xfId="1" applyNumberFormat="1" applyFont="1" applyFill="1" applyBorder="1" applyAlignment="1">
      <alignment wrapText="1"/>
    </xf>
    <xf numFmtId="165" fontId="14" fillId="0" borderId="4" xfId="1" applyFont="1" applyFill="1" applyBorder="1" applyAlignment="1">
      <alignment wrapText="1"/>
    </xf>
    <xf numFmtId="165" fontId="14" fillId="0" borderId="4" xfId="0" applyNumberFormat="1" applyFont="1" applyBorder="1" applyAlignment="1">
      <alignment wrapText="1"/>
    </xf>
    <xf numFmtId="181" fontId="8" fillId="0" borderId="4" xfId="1" applyNumberFormat="1" applyFont="1" applyFill="1" applyBorder="1" applyAlignment="1">
      <alignment wrapText="1"/>
    </xf>
    <xf numFmtId="167" fontId="3" fillId="0" borderId="0" xfId="262" applyFont="1"/>
    <xf numFmtId="167" fontId="5" fillId="0" borderId="0" xfId="262" applyFont="1"/>
    <xf numFmtId="0" fontId="57" fillId="0" borderId="0" xfId="0" applyFont="1"/>
    <xf numFmtId="167" fontId="57" fillId="0" borderId="0" xfId="262" applyFont="1" applyFill="1"/>
    <xf numFmtId="171" fontId="52" fillId="0" borderId="4" xfId="1" applyNumberFormat="1" applyFont="1" applyFill="1" applyBorder="1" applyAlignment="1">
      <alignment horizontal="right" wrapText="1"/>
    </xf>
    <xf numFmtId="39" fontId="52" fillId="0" borderId="4" xfId="0" applyNumberFormat="1" applyFont="1" applyBorder="1" applyAlignment="1">
      <alignment horizontal="right" wrapText="1"/>
    </xf>
    <xf numFmtId="37" fontId="52" fillId="0" borderId="4" xfId="0" applyNumberFormat="1" applyFont="1" applyBorder="1" applyAlignment="1">
      <alignment horizontal="right" wrapText="1"/>
    </xf>
    <xf numFmtId="0" fontId="56" fillId="0" borderId="4" xfId="0" applyFont="1" applyBorder="1" applyAlignment="1">
      <alignment vertical="top" wrapText="1"/>
    </xf>
    <xf numFmtId="0" fontId="56" fillId="0" borderId="4" xfId="0" applyFont="1" applyBorder="1" applyAlignment="1">
      <alignment horizontal="justify" vertical="top" wrapText="1"/>
    </xf>
    <xf numFmtId="0" fontId="52" fillId="0" borderId="4" xfId="0" applyFont="1" applyBorder="1" applyAlignment="1">
      <alignment horizontal="center" vertical="top" wrapText="1"/>
    </xf>
    <xf numFmtId="171" fontId="17" fillId="3" borderId="4" xfId="0" applyNumberFormat="1" applyFont="1" applyFill="1" applyBorder="1" applyAlignment="1">
      <alignment wrapText="1"/>
    </xf>
    <xf numFmtId="0" fontId="6" fillId="0" borderId="0" xfId="0" applyFont="1" applyAlignment="1">
      <alignment horizontal="left" vertical="top" wrapText="1"/>
    </xf>
    <xf numFmtId="0" fontId="6" fillId="3" borderId="4" xfId="0" applyFont="1" applyFill="1" applyBorder="1" applyAlignment="1">
      <alignment horizontal="left" wrapText="1"/>
    </xf>
    <xf numFmtId="0" fontId="9" fillId="0" borderId="4" xfId="0" applyFont="1" applyBorder="1" applyAlignment="1">
      <alignment vertical="top" wrapText="1"/>
    </xf>
    <xf numFmtId="0" fontId="9" fillId="0" borderId="4" xfId="0" applyFont="1" applyBorder="1" applyAlignment="1">
      <alignment horizontal="justify" vertical="top" wrapText="1"/>
    </xf>
    <xf numFmtId="0" fontId="6" fillId="2" borderId="1" xfId="0" applyFont="1" applyFill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6" borderId="4" xfId="0" applyFont="1" applyFill="1" applyBorder="1" applyAlignment="1">
      <alignment horizontal="left" wrapText="1"/>
    </xf>
    <xf numFmtId="0" fontId="9" fillId="0" borderId="4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justify" vertical="top" wrapText="1"/>
    </xf>
    <xf numFmtId="0" fontId="6" fillId="0" borderId="4" xfId="0" applyFont="1" applyBorder="1" applyAlignment="1">
      <alignment horizontal="left" wrapText="1"/>
    </xf>
    <xf numFmtId="0" fontId="9" fillId="0" borderId="8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6" fillId="0" borderId="9" xfId="0" applyFont="1" applyBorder="1" applyAlignment="1">
      <alignment wrapText="1"/>
    </xf>
    <xf numFmtId="0" fontId="29" fillId="8" borderId="4" xfId="0" applyFont="1" applyFill="1" applyBorder="1" applyAlignment="1">
      <alignment vertical="top" wrapText="1"/>
    </xf>
    <xf numFmtId="0" fontId="26" fillId="8" borderId="9" xfId="0" applyFont="1" applyFill="1" applyBorder="1" applyAlignment="1">
      <alignment vertical="top" wrapText="1"/>
    </xf>
    <xf numFmtId="0" fontId="26" fillId="3" borderId="4" xfId="0" applyFont="1" applyFill="1" applyBorder="1" applyAlignment="1">
      <alignment horizontal="left" wrapText="1"/>
    </xf>
    <xf numFmtId="0" fontId="25" fillId="3" borderId="4" xfId="0" applyFont="1" applyFill="1" applyBorder="1" applyAlignment="1">
      <alignment wrapText="1"/>
    </xf>
    <xf numFmtId="0" fontId="29" fillId="8" borderId="4" xfId="0" applyFont="1" applyFill="1" applyBorder="1" applyAlignment="1">
      <alignment horizontal="justify" vertical="top" wrapText="1"/>
    </xf>
    <xf numFmtId="0" fontId="26" fillId="5" borderId="4" xfId="0" applyFont="1" applyFill="1" applyBorder="1" applyAlignment="1">
      <alignment horizontal="left" wrapText="1"/>
    </xf>
    <xf numFmtId="0" fontId="29" fillId="5" borderId="4" xfId="0" applyFont="1" applyFill="1" applyBorder="1" applyAlignment="1">
      <alignment horizontal="left" vertical="top" wrapText="1"/>
    </xf>
    <xf numFmtId="0" fontId="29" fillId="5" borderId="8" xfId="0" applyFont="1" applyFill="1" applyBorder="1" applyAlignment="1">
      <alignment horizontal="left" vertical="top" wrapText="1"/>
    </xf>
    <xf numFmtId="0" fontId="29" fillId="5" borderId="0" xfId="0" applyFont="1" applyFill="1" applyAlignment="1">
      <alignment horizontal="left" vertical="top" wrapText="1"/>
    </xf>
    <xf numFmtId="0" fontId="26" fillId="5" borderId="9" xfId="0" applyFont="1" applyFill="1" applyBorder="1" applyAlignment="1">
      <alignment wrapText="1"/>
    </xf>
    <xf numFmtId="0" fontId="29" fillId="5" borderId="10" xfId="0" applyFont="1" applyFill="1" applyBorder="1" applyAlignment="1">
      <alignment horizontal="justify" vertical="top" wrapText="1"/>
    </xf>
    <xf numFmtId="0" fontId="29" fillId="5" borderId="4" xfId="0" applyFont="1" applyFill="1" applyBorder="1" applyAlignment="1">
      <alignment vertical="top" wrapText="1"/>
    </xf>
    <xf numFmtId="0" fontId="26" fillId="0" borderId="4" xfId="0" applyFont="1" applyBorder="1" applyAlignment="1">
      <alignment horizontal="left" vertical="top" wrapText="1"/>
    </xf>
    <xf numFmtId="0" fontId="26" fillId="2" borderId="1" xfId="0" applyFont="1" applyFill="1" applyBorder="1" applyAlignment="1">
      <alignment horizontal="left" vertical="top" wrapText="1"/>
    </xf>
    <xf numFmtId="0" fontId="26" fillId="0" borderId="3" xfId="0" applyFont="1" applyBorder="1" applyAlignment="1">
      <alignment horizontal="left" vertical="top" wrapText="1"/>
    </xf>
    <xf numFmtId="0" fontId="36" fillId="0" borderId="4" xfId="0" applyFont="1" applyBorder="1" applyAlignment="1">
      <alignment horizontal="left" vertical="top" wrapText="1"/>
    </xf>
    <xf numFmtId="0" fontId="29" fillId="0" borderId="4" xfId="0" applyFont="1" applyBorder="1" applyAlignment="1">
      <alignment horizontal="left" vertical="top" wrapText="1"/>
    </xf>
  </cellXfs>
  <cellStyles count="290">
    <cellStyle name="_x0004_" xfId="25" xr:uid="{00000000-0005-0000-0000-000000000000}"/>
    <cellStyle name="_x0004_ 2" xfId="55" xr:uid="{00000000-0005-0000-0000-000001000000}"/>
    <cellStyle name="_x0004_ 2 2" xfId="147" xr:uid="{00000000-0005-0000-0000-000002000000}"/>
    <cellStyle name="a1" xfId="26" xr:uid="{00000000-0005-0000-0000-000003000000}"/>
    <cellStyle name="a1 2" xfId="148" xr:uid="{00000000-0005-0000-0000-000004000000}"/>
    <cellStyle name="a1 2 2" xfId="149" xr:uid="{00000000-0005-0000-0000-000005000000}"/>
    <cellStyle name="a2" xfId="27" xr:uid="{00000000-0005-0000-0000-000006000000}"/>
    <cellStyle name="a2 2" xfId="150" xr:uid="{00000000-0005-0000-0000-000007000000}"/>
    <cellStyle name="a2 2 2" xfId="151" xr:uid="{00000000-0005-0000-0000-000008000000}"/>
    <cellStyle name="Comma" xfId="262" builtinId="3"/>
    <cellStyle name="Comma  - Style1" xfId="174" xr:uid="{00000000-0005-0000-0000-000009000000}"/>
    <cellStyle name="Comma [0]" xfId="1" builtinId="6"/>
    <cellStyle name="Comma [0] 2" xfId="8" xr:uid="{00000000-0005-0000-0000-00000B000000}"/>
    <cellStyle name="Comma [0] 2 2" xfId="28" xr:uid="{00000000-0005-0000-0000-00000C000000}"/>
    <cellStyle name="Comma [0] 2 2 2" xfId="153" xr:uid="{00000000-0005-0000-0000-00000D000000}"/>
    <cellStyle name="Comma [0] 2 2 3" xfId="267" xr:uid="{4515F145-41BC-4FEF-90EE-654582B0A0BC}"/>
    <cellStyle name="Comma [0] 2 3" xfId="154" xr:uid="{00000000-0005-0000-0000-00000E000000}"/>
    <cellStyle name="Comma [0] 2 4" xfId="266" xr:uid="{4370633E-2314-49F6-9335-C8B769E606F4}"/>
    <cellStyle name="Comma [0] 21" xfId="139" xr:uid="{00000000-0005-0000-0000-00000F000000}"/>
    <cellStyle name="Comma [0] 3" xfId="29" xr:uid="{00000000-0005-0000-0000-000010000000}"/>
    <cellStyle name="Comma [0] 3 2" xfId="30" xr:uid="{00000000-0005-0000-0000-000011000000}"/>
    <cellStyle name="Comma [0] 3 3" xfId="187" xr:uid="{00000000-0005-0000-0000-000012000000}"/>
    <cellStyle name="Comma [0] 4" xfId="24" xr:uid="{00000000-0005-0000-0000-000013000000}"/>
    <cellStyle name="Comma [0] 4 2" xfId="188" xr:uid="{00000000-0005-0000-0000-000014000000}"/>
    <cellStyle name="Comma [0] 4 3" xfId="268" xr:uid="{F09524C3-2B7A-4BDF-8535-281E79663FF7}"/>
    <cellStyle name="Comma [0] 5" xfId="54" xr:uid="{00000000-0005-0000-0000-000015000000}"/>
    <cellStyle name="Comma [0] 5 2" xfId="186" xr:uid="{00000000-0005-0000-0000-000016000000}"/>
    <cellStyle name="Comma [0] 6" xfId="97" xr:uid="{00000000-0005-0000-0000-000017000000}"/>
    <cellStyle name="Comma [0] 6 2" xfId="210" xr:uid="{00000000-0005-0000-0000-000018000000}"/>
    <cellStyle name="Comma [0] 7" xfId="264" xr:uid="{51E8D6FD-EA79-4101-BCF1-83AD1AD9DB07}"/>
    <cellStyle name="Comma 10" xfId="23" xr:uid="{00000000-0005-0000-0000-000019000000}"/>
    <cellStyle name="Comma 10 2" xfId="173" xr:uid="{00000000-0005-0000-0000-00001A000000}"/>
    <cellStyle name="Comma 10 3" xfId="269" xr:uid="{22C5C394-ECFD-441A-8691-EA88FF08004F}"/>
    <cellStyle name="Comma 11" xfId="31" xr:uid="{00000000-0005-0000-0000-00001B000000}"/>
    <cellStyle name="Comma 11 2" xfId="270" xr:uid="{7ECCC3DF-2197-4A08-8B26-9A34A95A07BF}"/>
    <cellStyle name="Comma 12" xfId="33" xr:uid="{00000000-0005-0000-0000-00001C000000}"/>
    <cellStyle name="Comma 12 2" xfId="196" xr:uid="{00000000-0005-0000-0000-00001D000000}"/>
    <cellStyle name="Comma 13" xfId="92" xr:uid="{00000000-0005-0000-0000-00001E000000}"/>
    <cellStyle name="Comma 13 2" xfId="213" xr:uid="{00000000-0005-0000-0000-00001F000000}"/>
    <cellStyle name="Comma 14" xfId="93" xr:uid="{00000000-0005-0000-0000-000020000000}"/>
    <cellStyle name="Comma 14 2" xfId="237" xr:uid="{00000000-0005-0000-0000-000021000000}"/>
    <cellStyle name="Comma 15" xfId="100" xr:uid="{00000000-0005-0000-0000-000022000000}"/>
    <cellStyle name="Comma 15 2" xfId="199" xr:uid="{00000000-0005-0000-0000-000023000000}"/>
    <cellStyle name="Comma 16" xfId="106" xr:uid="{00000000-0005-0000-0000-000024000000}"/>
    <cellStyle name="Comma 16 2" xfId="243" xr:uid="{00000000-0005-0000-0000-000025000000}"/>
    <cellStyle name="Comma 17" xfId="108" xr:uid="{00000000-0005-0000-0000-000026000000}"/>
    <cellStyle name="Comma 17 2" xfId="226" xr:uid="{00000000-0005-0000-0000-000027000000}"/>
    <cellStyle name="Comma 18" xfId="113" xr:uid="{00000000-0005-0000-0000-000028000000}"/>
    <cellStyle name="Comma 18 2" xfId="231" xr:uid="{00000000-0005-0000-0000-000029000000}"/>
    <cellStyle name="Comma 19" xfId="105" xr:uid="{00000000-0005-0000-0000-00002A000000}"/>
    <cellStyle name="Comma 19 2" xfId="238" xr:uid="{00000000-0005-0000-0000-00002B000000}"/>
    <cellStyle name="Comma 2" xfId="3" xr:uid="{00000000-0005-0000-0000-00002C000000}"/>
    <cellStyle name="Comma 2 2" xfId="20" xr:uid="{00000000-0005-0000-0000-00002D000000}"/>
    <cellStyle name="Comma 2 2 2" xfId="272" xr:uid="{E2E0E961-B22A-448E-9E13-5B33404842F6}"/>
    <cellStyle name="Comma 2 3" xfId="32" xr:uid="{00000000-0005-0000-0000-00002E000000}"/>
    <cellStyle name="Comma 2 3 2" xfId="155" xr:uid="{00000000-0005-0000-0000-00002F000000}"/>
    <cellStyle name="Comma 2 4" xfId="271" xr:uid="{212EFAD0-A6D2-4DA6-A6B2-0BCC38A5089E}"/>
    <cellStyle name="Comma 20" xfId="116" xr:uid="{00000000-0005-0000-0000-000030000000}"/>
    <cellStyle name="Comma 20 2" xfId="225" xr:uid="{00000000-0005-0000-0000-000031000000}"/>
    <cellStyle name="Comma 21" xfId="98" xr:uid="{00000000-0005-0000-0000-000032000000}"/>
    <cellStyle name="Comma 21 2" xfId="234" xr:uid="{00000000-0005-0000-0000-000033000000}"/>
    <cellStyle name="Comma 22" xfId="103" xr:uid="{00000000-0005-0000-0000-000034000000}"/>
    <cellStyle name="Comma 22 2" xfId="233" xr:uid="{00000000-0005-0000-0000-000035000000}"/>
    <cellStyle name="Comma 23" xfId="118" xr:uid="{00000000-0005-0000-0000-000036000000}"/>
    <cellStyle name="Comma 23 2" xfId="236" xr:uid="{00000000-0005-0000-0000-000037000000}"/>
    <cellStyle name="Comma 24" xfId="120" xr:uid="{00000000-0005-0000-0000-000038000000}"/>
    <cellStyle name="Comma 24 2" xfId="204" xr:uid="{00000000-0005-0000-0000-000039000000}"/>
    <cellStyle name="Comma 25" xfId="122" xr:uid="{00000000-0005-0000-0000-00003A000000}"/>
    <cellStyle name="Comma 25 2" xfId="232" xr:uid="{00000000-0005-0000-0000-00003B000000}"/>
    <cellStyle name="Comma 26" xfId="124" xr:uid="{00000000-0005-0000-0000-00003C000000}"/>
    <cellStyle name="Comma 26 2" xfId="244" xr:uid="{00000000-0005-0000-0000-00003D000000}"/>
    <cellStyle name="Comma 27" xfId="126" xr:uid="{00000000-0005-0000-0000-00003E000000}"/>
    <cellStyle name="Comma 27 2" xfId="201" xr:uid="{00000000-0005-0000-0000-00003F000000}"/>
    <cellStyle name="Comma 28" xfId="128" xr:uid="{00000000-0005-0000-0000-000040000000}"/>
    <cellStyle name="Comma 28 2" xfId="230" xr:uid="{00000000-0005-0000-0000-000041000000}"/>
    <cellStyle name="Comma 29" xfId="130" xr:uid="{00000000-0005-0000-0000-000042000000}"/>
    <cellStyle name="Comma 29 2" xfId="249" xr:uid="{00000000-0005-0000-0000-000043000000}"/>
    <cellStyle name="Comma 3" xfId="7" xr:uid="{00000000-0005-0000-0000-000044000000}"/>
    <cellStyle name="Comma 3 2" xfId="35" xr:uid="{00000000-0005-0000-0000-000045000000}"/>
    <cellStyle name="Comma 3 2 2" xfId="58" xr:uid="{00000000-0005-0000-0000-000046000000}"/>
    <cellStyle name="Comma 3 2 3" xfId="274" xr:uid="{D32E888A-5755-453A-8832-EB5B469FE1EB}"/>
    <cellStyle name="Comma 3 3" xfId="57" xr:uid="{00000000-0005-0000-0000-000047000000}"/>
    <cellStyle name="Comma 3 3 2" xfId="156" xr:uid="{00000000-0005-0000-0000-000048000000}"/>
    <cellStyle name="Comma 3 3 3" xfId="275" xr:uid="{82D6C567-82B3-45F9-8A24-41B3611BDE0A}"/>
    <cellStyle name="Comma 3 4" xfId="96" xr:uid="{00000000-0005-0000-0000-000049000000}"/>
    <cellStyle name="Comma 3 5" xfId="273" xr:uid="{0BB6E74A-38E0-4F11-8D0A-103EFF7A6C6F}"/>
    <cellStyle name="Comma 30" xfId="138" xr:uid="{00000000-0005-0000-0000-00004A000000}"/>
    <cellStyle name="Comma 30 2" xfId="250" xr:uid="{00000000-0005-0000-0000-00004B000000}"/>
    <cellStyle name="Comma 31" xfId="141" xr:uid="{00000000-0005-0000-0000-00004C000000}"/>
    <cellStyle name="Comma 31 2" xfId="254" xr:uid="{00000000-0005-0000-0000-00004D000000}"/>
    <cellStyle name="Comma 32" xfId="143" xr:uid="{00000000-0005-0000-0000-00004E000000}"/>
    <cellStyle name="Comma 32 2" xfId="252" xr:uid="{00000000-0005-0000-0000-00004F000000}"/>
    <cellStyle name="Comma 33" xfId="258" xr:uid="{00000000-0005-0000-0000-000050000000}"/>
    <cellStyle name="Comma 34" xfId="152" xr:uid="{00000000-0005-0000-0000-000051000000}"/>
    <cellStyle name="Comma 35" xfId="288" xr:uid="{51FEDDCC-ED3E-468F-88A2-60F4095B3F96}"/>
    <cellStyle name="Comma 36" xfId="289" xr:uid="{7BC7458B-5335-4129-B7D2-5F7E84E2A072}"/>
    <cellStyle name="Comma 4" xfId="36" xr:uid="{00000000-0005-0000-0000-000052000000}"/>
    <cellStyle name="Comma 4 2" xfId="37" xr:uid="{00000000-0005-0000-0000-000053000000}"/>
    <cellStyle name="Comma 4 2 2" xfId="277" xr:uid="{03F8A053-B367-41F2-BC59-088A77579B57}"/>
    <cellStyle name="Comma 4 3" xfId="59" xr:uid="{00000000-0005-0000-0000-000054000000}"/>
    <cellStyle name="Comma 4 4" xfId="261" xr:uid="{00000000-0005-0000-0000-000055000000}"/>
    <cellStyle name="Comma 4 5" xfId="276" xr:uid="{AD031972-A944-43BE-BDA8-DDCDD873158D}"/>
    <cellStyle name="Comma 5" xfId="38" xr:uid="{00000000-0005-0000-0000-000056000000}"/>
    <cellStyle name="Comma 5 2" xfId="60" xr:uid="{00000000-0005-0000-0000-000057000000}"/>
    <cellStyle name="Comma 5 2 2" xfId="223" xr:uid="{00000000-0005-0000-0000-000058000000}"/>
    <cellStyle name="Comma 5 2 3" xfId="279" xr:uid="{65D60CE4-52A1-45C4-BE2B-8844D960DEEF}"/>
    <cellStyle name="Comma 5 3" xfId="278" xr:uid="{C02FC8B1-C435-4160-9ECC-9C5473113A72}"/>
    <cellStyle name="Comma 6" xfId="39" xr:uid="{00000000-0005-0000-0000-000059000000}"/>
    <cellStyle name="Comma 6 2" xfId="280" xr:uid="{E045547C-552D-496D-9564-34AD6B66543E}"/>
    <cellStyle name="Comma 7" xfId="40" xr:uid="{00000000-0005-0000-0000-00005A000000}"/>
    <cellStyle name="Comma 7 2" xfId="281" xr:uid="{3B99F2CC-F09F-4B4A-AD2C-2200D3D4CA0A}"/>
    <cellStyle name="Comma 8" xfId="41" xr:uid="{00000000-0005-0000-0000-00005B000000}"/>
    <cellStyle name="Comma 8 2" xfId="282" xr:uid="{5A34C877-8878-46A7-9BA4-E78C083D4B21}"/>
    <cellStyle name="Comma 9" xfId="42" xr:uid="{00000000-0005-0000-0000-00005C000000}"/>
    <cellStyle name="Comma 9 2" xfId="283" xr:uid="{A11E03A7-9520-4006-9444-E76C162BF38E}"/>
    <cellStyle name="Curren - Style3" xfId="175" xr:uid="{00000000-0005-0000-0000-00005D000000}"/>
    <cellStyle name="Curren - Style4" xfId="176" xr:uid="{00000000-0005-0000-0000-00005E000000}"/>
    <cellStyle name="Currency [0] 2" xfId="43" xr:uid="{00000000-0005-0000-0000-00005F000000}"/>
    <cellStyle name="Currency 2" xfId="9" xr:uid="{00000000-0005-0000-0000-000060000000}"/>
    <cellStyle name="Dezimal [0]_35ERI8T2gbIEMixb4v26icuOo" xfId="177" xr:uid="{00000000-0005-0000-0000-000061000000}"/>
    <cellStyle name="Dezimal_35ERI8T2gbIEMixb4v26icuOo" xfId="178" xr:uid="{00000000-0005-0000-0000-000062000000}"/>
    <cellStyle name="Euro" xfId="157" xr:uid="{00000000-0005-0000-0000-000063000000}"/>
    <cellStyle name="Hyperlink 2" xfId="158" xr:uid="{00000000-0005-0000-0000-000064000000}"/>
    <cellStyle name="Normal" xfId="0" builtinId="0"/>
    <cellStyle name="Normal - Style1" xfId="4" xr:uid="{00000000-0005-0000-0000-000066000000}"/>
    <cellStyle name="Normal - Style1 2" xfId="44" xr:uid="{00000000-0005-0000-0000-000067000000}"/>
    <cellStyle name="Normal - Style5" xfId="179" xr:uid="{00000000-0005-0000-0000-000068000000}"/>
    <cellStyle name="Normal - Style6" xfId="180" xr:uid="{00000000-0005-0000-0000-000069000000}"/>
    <cellStyle name="Normal 10" xfId="10" xr:uid="{00000000-0005-0000-0000-00006A000000}"/>
    <cellStyle name="Normal 10 2" xfId="167" xr:uid="{00000000-0005-0000-0000-00006B000000}"/>
    <cellStyle name="Normal 11" xfId="11" xr:uid="{00000000-0005-0000-0000-00006C000000}"/>
    <cellStyle name="Normal 11 2" xfId="219" xr:uid="{00000000-0005-0000-0000-00006D000000}"/>
    <cellStyle name="Normal 11 3" xfId="216" xr:uid="{00000000-0005-0000-0000-00006E000000}"/>
    <cellStyle name="Normal 11 4" xfId="168" xr:uid="{00000000-0005-0000-0000-00006F000000}"/>
    <cellStyle name="Normal 12" xfId="6" xr:uid="{00000000-0005-0000-0000-000070000000}"/>
    <cellStyle name="Normal 12 2" xfId="169" xr:uid="{00000000-0005-0000-0000-000071000000}"/>
    <cellStyle name="Normal 13" xfId="21" xr:uid="{00000000-0005-0000-0000-000072000000}"/>
    <cellStyle name="Normal 13 2" xfId="170" xr:uid="{00000000-0005-0000-0000-000073000000}"/>
    <cellStyle name="Normal 14" xfId="22" xr:uid="{00000000-0005-0000-0000-000074000000}"/>
    <cellStyle name="Normal 14 2" xfId="171" xr:uid="{00000000-0005-0000-0000-000075000000}"/>
    <cellStyle name="Normal 15" xfId="34" xr:uid="{00000000-0005-0000-0000-000076000000}"/>
    <cellStyle name="Normal 15 2" xfId="172" xr:uid="{00000000-0005-0000-0000-000077000000}"/>
    <cellStyle name="Normal 16" xfId="53" xr:uid="{00000000-0005-0000-0000-000078000000}"/>
    <cellStyle name="Normal 16 2" xfId="185" xr:uid="{00000000-0005-0000-0000-000079000000}"/>
    <cellStyle name="Normal 17" xfId="65" xr:uid="{00000000-0005-0000-0000-00007A000000}"/>
    <cellStyle name="Normal 17 2" xfId="197" xr:uid="{00000000-0005-0000-0000-00007B000000}"/>
    <cellStyle name="Normal 18" xfId="73" xr:uid="{00000000-0005-0000-0000-00007C000000}"/>
    <cellStyle name="Normal 18 2" xfId="207" xr:uid="{00000000-0005-0000-0000-00007D000000}"/>
    <cellStyle name="Normal 19" xfId="68" xr:uid="{00000000-0005-0000-0000-00007E000000}"/>
    <cellStyle name="Normal 19 2" xfId="227" xr:uid="{00000000-0005-0000-0000-00007F000000}"/>
    <cellStyle name="Normal 2" xfId="5" xr:uid="{00000000-0005-0000-0000-000080000000}"/>
    <cellStyle name="Normal 2 2" xfId="46" xr:uid="{00000000-0005-0000-0000-000081000000}"/>
    <cellStyle name="Normal 2 2 2" xfId="159" xr:uid="{00000000-0005-0000-0000-000082000000}"/>
    <cellStyle name="Normal 2 3" xfId="45" xr:uid="{00000000-0005-0000-0000-000083000000}"/>
    <cellStyle name="Normal 2 3 2" xfId="181" xr:uid="{00000000-0005-0000-0000-000084000000}"/>
    <cellStyle name="Normal 2 4" xfId="95" xr:uid="{00000000-0005-0000-0000-000085000000}"/>
    <cellStyle name="Normal 2 4 2" xfId="189" xr:uid="{00000000-0005-0000-0000-000086000000}"/>
    <cellStyle name="Normal 2 5" xfId="102" xr:uid="{00000000-0005-0000-0000-000087000000}"/>
    <cellStyle name="Normal 20" xfId="69" xr:uid="{00000000-0005-0000-0000-000088000000}"/>
    <cellStyle name="Normal 20 2" xfId="228" xr:uid="{00000000-0005-0000-0000-000089000000}"/>
    <cellStyle name="Normal 21" xfId="70" xr:uid="{00000000-0005-0000-0000-00008A000000}"/>
    <cellStyle name="Normal 21 2" xfId="224" xr:uid="{00000000-0005-0000-0000-00008B000000}"/>
    <cellStyle name="Normal 22" xfId="56" xr:uid="{00000000-0005-0000-0000-00008C000000}"/>
    <cellStyle name="Normal 22 2" xfId="208" xr:uid="{00000000-0005-0000-0000-00008D000000}"/>
    <cellStyle name="Normal 23" xfId="72" xr:uid="{00000000-0005-0000-0000-00008E000000}"/>
    <cellStyle name="Normal 23 2" xfId="235" xr:uid="{00000000-0005-0000-0000-00008F000000}"/>
    <cellStyle name="Normal 24" xfId="71" xr:uid="{00000000-0005-0000-0000-000090000000}"/>
    <cellStyle name="Normal 24 2" xfId="245" xr:uid="{00000000-0005-0000-0000-000091000000}"/>
    <cellStyle name="Normal 25" xfId="74" xr:uid="{00000000-0005-0000-0000-000092000000}"/>
    <cellStyle name="Normal 25 2" xfId="241" xr:uid="{00000000-0005-0000-0000-000093000000}"/>
    <cellStyle name="Normal 26" xfId="75" xr:uid="{00000000-0005-0000-0000-000094000000}"/>
    <cellStyle name="Normal 26 2" xfId="229" xr:uid="{00000000-0005-0000-0000-000095000000}"/>
    <cellStyle name="Normal 27" xfId="76" xr:uid="{00000000-0005-0000-0000-000096000000}"/>
    <cellStyle name="Normal 27 2" xfId="242" xr:uid="{00000000-0005-0000-0000-000097000000}"/>
    <cellStyle name="Normal 28" xfId="77" xr:uid="{00000000-0005-0000-0000-000098000000}"/>
    <cellStyle name="Normal 28 2" xfId="240" xr:uid="{00000000-0005-0000-0000-000099000000}"/>
    <cellStyle name="Normal 29" xfId="79" xr:uid="{00000000-0005-0000-0000-00009A000000}"/>
    <cellStyle name="Normal 29 2" xfId="202" xr:uid="{00000000-0005-0000-0000-00009B000000}"/>
    <cellStyle name="Normal 3" xfId="12" xr:uid="{00000000-0005-0000-0000-00009C000000}"/>
    <cellStyle name="Normal 3 2" xfId="48" xr:uid="{00000000-0005-0000-0000-00009D000000}"/>
    <cellStyle name="Normal 3 3" xfId="47" xr:uid="{00000000-0005-0000-0000-00009E000000}"/>
    <cellStyle name="Normal 3 3 2" xfId="160" xr:uid="{00000000-0005-0000-0000-00009F000000}"/>
    <cellStyle name="Normal 3 4" xfId="61" xr:uid="{00000000-0005-0000-0000-0000A0000000}"/>
    <cellStyle name="Normal 3 5" xfId="284" xr:uid="{AE381FCF-3633-4B43-86AA-08487A0F63F1}"/>
    <cellStyle name="Normal 30" xfId="80" xr:uid="{00000000-0005-0000-0000-0000A1000000}"/>
    <cellStyle name="Normal 30 2" xfId="239" xr:uid="{00000000-0005-0000-0000-0000A2000000}"/>
    <cellStyle name="Normal 31" xfId="81" xr:uid="{00000000-0005-0000-0000-0000A3000000}"/>
    <cellStyle name="Normal 31 2" xfId="206" xr:uid="{00000000-0005-0000-0000-0000A4000000}"/>
    <cellStyle name="Normal 32" xfId="82" xr:uid="{00000000-0005-0000-0000-0000A5000000}"/>
    <cellStyle name="Normal 32 2" xfId="198" xr:uid="{00000000-0005-0000-0000-0000A6000000}"/>
    <cellStyle name="Normal 33" xfId="83" xr:uid="{00000000-0005-0000-0000-0000A7000000}"/>
    <cellStyle name="Normal 33 2" xfId="246" xr:uid="{00000000-0005-0000-0000-0000A8000000}"/>
    <cellStyle name="Normal 34" xfId="84" xr:uid="{00000000-0005-0000-0000-0000A9000000}"/>
    <cellStyle name="Normal 34 2" xfId="248" xr:uid="{00000000-0005-0000-0000-0000AA000000}"/>
    <cellStyle name="Normal 35" xfId="78" xr:uid="{00000000-0005-0000-0000-0000AB000000}"/>
    <cellStyle name="Normal 35 2" xfId="253" xr:uid="{00000000-0005-0000-0000-0000AC000000}"/>
    <cellStyle name="Normal 36" xfId="86" xr:uid="{00000000-0005-0000-0000-0000AD000000}"/>
    <cellStyle name="Normal 36 2" xfId="255" xr:uid="{00000000-0005-0000-0000-0000AE000000}"/>
    <cellStyle name="Normal 37" xfId="85" xr:uid="{00000000-0005-0000-0000-0000AF000000}"/>
    <cellStyle name="Normal 37 2" xfId="256" xr:uid="{00000000-0005-0000-0000-0000B0000000}"/>
    <cellStyle name="Normal 38" xfId="87" xr:uid="{00000000-0005-0000-0000-0000B1000000}"/>
    <cellStyle name="Normal 38 2" xfId="257" xr:uid="{00000000-0005-0000-0000-0000B2000000}"/>
    <cellStyle name="Normal 39" xfId="88" xr:uid="{00000000-0005-0000-0000-0000B3000000}"/>
    <cellStyle name="Normal 4" xfId="13" xr:uid="{00000000-0005-0000-0000-0000B4000000}"/>
    <cellStyle name="Normal 4 2" xfId="62" xr:uid="{00000000-0005-0000-0000-0000B5000000}"/>
    <cellStyle name="Normal 4 2 2" xfId="212" xr:uid="{00000000-0005-0000-0000-0000B6000000}"/>
    <cellStyle name="Normal 4 2 3" xfId="191" xr:uid="{00000000-0005-0000-0000-0000B7000000}"/>
    <cellStyle name="Normal 4 3" xfId="190" xr:uid="{00000000-0005-0000-0000-0000B8000000}"/>
    <cellStyle name="Normal 4 4" xfId="203" xr:uid="{00000000-0005-0000-0000-0000B9000000}"/>
    <cellStyle name="Normal 4 5" xfId="247" xr:uid="{00000000-0005-0000-0000-0000BA000000}"/>
    <cellStyle name="Normal 4 6" xfId="251" xr:uid="{00000000-0005-0000-0000-0000BB000000}"/>
    <cellStyle name="Normal 4 7" xfId="259" xr:uid="{00000000-0005-0000-0000-0000BC000000}"/>
    <cellStyle name="Normal 4 8" xfId="161" xr:uid="{00000000-0005-0000-0000-0000BD000000}"/>
    <cellStyle name="Normal 4 9" xfId="285" xr:uid="{295EB738-0FB0-4ED2-8210-F41ACC699765}"/>
    <cellStyle name="Normal 40" xfId="89" xr:uid="{00000000-0005-0000-0000-0000BE000000}"/>
    <cellStyle name="Normal 41" xfId="90" xr:uid="{00000000-0005-0000-0000-0000BF000000}"/>
    <cellStyle name="Normal 42" xfId="91" xr:uid="{00000000-0005-0000-0000-0000C0000000}"/>
    <cellStyle name="Normal 43" xfId="94" xr:uid="{00000000-0005-0000-0000-0000C1000000}"/>
    <cellStyle name="Normal 44" xfId="99" xr:uid="{00000000-0005-0000-0000-0000C2000000}"/>
    <cellStyle name="Normal 45" xfId="107" xr:uid="{00000000-0005-0000-0000-0000C3000000}"/>
    <cellStyle name="Normal 46" xfId="109" xr:uid="{00000000-0005-0000-0000-0000C4000000}"/>
    <cellStyle name="Normal 47" xfId="110" xr:uid="{00000000-0005-0000-0000-0000C5000000}"/>
    <cellStyle name="Normal 48" xfId="111" xr:uid="{00000000-0005-0000-0000-0000C6000000}"/>
    <cellStyle name="Normal 49" xfId="112" xr:uid="{00000000-0005-0000-0000-0000C7000000}"/>
    <cellStyle name="Normal 5" xfId="14" xr:uid="{00000000-0005-0000-0000-0000C8000000}"/>
    <cellStyle name="Normal 5 2" xfId="209" xr:uid="{00000000-0005-0000-0000-0000C9000000}"/>
    <cellStyle name="Normal 5 3" xfId="162" xr:uid="{00000000-0005-0000-0000-0000CA000000}"/>
    <cellStyle name="Normal 5 4" xfId="286" xr:uid="{883FB2B4-4809-4A33-86B5-4176DEB2AA91}"/>
    <cellStyle name="Normal 50" xfId="114" xr:uid="{00000000-0005-0000-0000-0000CB000000}"/>
    <cellStyle name="Normal 51" xfId="115" xr:uid="{00000000-0005-0000-0000-0000CC000000}"/>
    <cellStyle name="Normal 52" xfId="117" xr:uid="{00000000-0005-0000-0000-0000CD000000}"/>
    <cellStyle name="Normal 53" xfId="104" xr:uid="{00000000-0005-0000-0000-0000CE000000}"/>
    <cellStyle name="Normal 54" xfId="101" xr:uid="{00000000-0005-0000-0000-0000CF000000}"/>
    <cellStyle name="Normal 55" xfId="119" xr:uid="{00000000-0005-0000-0000-0000D0000000}"/>
    <cellStyle name="Normal 56" xfId="121" xr:uid="{00000000-0005-0000-0000-0000D1000000}"/>
    <cellStyle name="Normal 57" xfId="123" xr:uid="{00000000-0005-0000-0000-0000D2000000}"/>
    <cellStyle name="Normal 58" xfId="125" xr:uid="{00000000-0005-0000-0000-0000D3000000}"/>
    <cellStyle name="Normal 59" xfId="127" xr:uid="{00000000-0005-0000-0000-0000D4000000}"/>
    <cellStyle name="Normal 6" xfId="15" xr:uid="{00000000-0005-0000-0000-0000D5000000}"/>
    <cellStyle name="Normal 6 2" xfId="64" xr:uid="{00000000-0005-0000-0000-0000D6000000}"/>
    <cellStyle name="Normal 6 2 2" xfId="220" xr:uid="{00000000-0005-0000-0000-0000D7000000}"/>
    <cellStyle name="Normal 6 3" xfId="63" xr:uid="{00000000-0005-0000-0000-0000D8000000}"/>
    <cellStyle name="Normal 6 3 2" xfId="214" xr:uid="{00000000-0005-0000-0000-0000D9000000}"/>
    <cellStyle name="Normal 6 4" xfId="163" xr:uid="{00000000-0005-0000-0000-0000DA000000}"/>
    <cellStyle name="Normal 60" xfId="129" xr:uid="{00000000-0005-0000-0000-0000DB000000}"/>
    <cellStyle name="Normal 61" xfId="131" xr:uid="{00000000-0005-0000-0000-0000DC000000}"/>
    <cellStyle name="Normal 62" xfId="132" xr:uid="{00000000-0005-0000-0000-0000DD000000}"/>
    <cellStyle name="Normal 63" xfId="133" xr:uid="{00000000-0005-0000-0000-0000DE000000}"/>
    <cellStyle name="Normal 64" xfId="134" xr:uid="{00000000-0005-0000-0000-0000DF000000}"/>
    <cellStyle name="Normal 65" xfId="135" xr:uid="{00000000-0005-0000-0000-0000E0000000}"/>
    <cellStyle name="Normal 66" xfId="136" xr:uid="{00000000-0005-0000-0000-0000E1000000}"/>
    <cellStyle name="Normal 67" xfId="137" xr:uid="{00000000-0005-0000-0000-0000E2000000}"/>
    <cellStyle name="Normal 68" xfId="142" xr:uid="{00000000-0005-0000-0000-0000E3000000}"/>
    <cellStyle name="Normal 69" xfId="144" xr:uid="{00000000-0005-0000-0000-0000E4000000}"/>
    <cellStyle name="Normal 7" xfId="16" xr:uid="{00000000-0005-0000-0000-0000E5000000}"/>
    <cellStyle name="Normal 7 2" xfId="49" xr:uid="{00000000-0005-0000-0000-0000E6000000}"/>
    <cellStyle name="Normal 7 2 2" xfId="217" xr:uid="{00000000-0005-0000-0000-0000E7000000}"/>
    <cellStyle name="Normal 70" xfId="145" xr:uid="{00000000-0005-0000-0000-0000E8000000}"/>
    <cellStyle name="Normal 71" xfId="193" xr:uid="{00000000-0005-0000-0000-0000E9000000}"/>
    <cellStyle name="Normal 72" xfId="146" xr:uid="{00000000-0005-0000-0000-0000EA000000}"/>
    <cellStyle name="Normal 73" xfId="140" xr:uid="{00000000-0005-0000-0000-0000EB000000}"/>
    <cellStyle name="Normal 74" xfId="260" xr:uid="{00000000-0005-0000-0000-0000EC000000}"/>
    <cellStyle name="Normal 75" xfId="263" xr:uid="{44AB015F-BB8E-4C2C-930B-9DB3EA1143AF}"/>
    <cellStyle name="Normal 76" xfId="287" xr:uid="{BC7F6A2E-08E2-4AD9-83BF-65BBE6ED6259}"/>
    <cellStyle name="Normal 8" xfId="17" xr:uid="{00000000-0005-0000-0000-0000ED000000}"/>
    <cellStyle name="Normal 8 2" xfId="218" xr:uid="{00000000-0005-0000-0000-0000EE000000}"/>
    <cellStyle name="Normal 8 3" xfId="215" xr:uid="{00000000-0005-0000-0000-0000EF000000}"/>
    <cellStyle name="Normal 8 4" xfId="165" xr:uid="{00000000-0005-0000-0000-0000F0000000}"/>
    <cellStyle name="Normal 9" xfId="18" xr:uid="{00000000-0005-0000-0000-0000F1000000}"/>
    <cellStyle name="Normal 9 2" xfId="222" xr:uid="{00000000-0005-0000-0000-0000F2000000}"/>
    <cellStyle name="Normal 9 3" xfId="166" xr:uid="{00000000-0005-0000-0000-0000F3000000}"/>
    <cellStyle name="Percent" xfId="2" builtinId="5"/>
    <cellStyle name="Percent 2" xfId="19" xr:uid="{00000000-0005-0000-0000-0000F5000000}"/>
    <cellStyle name="Percent 2 2" xfId="50" xr:uid="{00000000-0005-0000-0000-0000F6000000}"/>
    <cellStyle name="Percent 2 2 2" xfId="164" xr:uid="{00000000-0005-0000-0000-0000F7000000}"/>
    <cellStyle name="Percent 2 3" xfId="192" xr:uid="{00000000-0005-0000-0000-0000F8000000}"/>
    <cellStyle name="Percent 2 4" xfId="200" xr:uid="{00000000-0005-0000-0000-0000F9000000}"/>
    <cellStyle name="Percent 3" xfId="51" xr:uid="{00000000-0005-0000-0000-0000FA000000}"/>
    <cellStyle name="Percent 3 2" xfId="52" xr:uid="{00000000-0005-0000-0000-0000FB000000}"/>
    <cellStyle name="Percent 3 3" xfId="66" xr:uid="{00000000-0005-0000-0000-0000FC000000}"/>
    <cellStyle name="Percent 4" xfId="67" xr:uid="{00000000-0005-0000-0000-0000FD000000}"/>
    <cellStyle name="Percent 4 2" xfId="205" xr:uid="{00000000-0005-0000-0000-0000FE000000}"/>
    <cellStyle name="Percent 4 3" xfId="194" xr:uid="{00000000-0005-0000-0000-0000FF000000}"/>
    <cellStyle name="Percent 5" xfId="195" xr:uid="{00000000-0005-0000-0000-000000010000}"/>
    <cellStyle name="Percent 6" xfId="211" xr:uid="{00000000-0005-0000-0000-000001010000}"/>
    <cellStyle name="Percent 7" xfId="221" xr:uid="{00000000-0005-0000-0000-000002010000}"/>
    <cellStyle name="Percent 8" xfId="265" xr:uid="{72EA6763-33DA-4781-AA89-F6E446F28FA9}"/>
    <cellStyle name="Standard_Data" xfId="182" xr:uid="{00000000-0005-0000-0000-000003010000}"/>
    <cellStyle name="Währung [0]_35ERI8T2gbIEMixb4v26icuOo" xfId="183" xr:uid="{00000000-0005-0000-0000-000004010000}"/>
    <cellStyle name="Währung_35ERI8T2gbIEMixb4v26icuOo" xfId="184" xr:uid="{00000000-0005-0000-0000-000005010000}"/>
  </cellStyles>
  <dxfs count="0"/>
  <tableStyles count="0" defaultTableStyle="TableStyleMedium2" defaultPivotStyle="PivotStyleLight16"/>
  <colors>
    <mruColors>
      <color rgb="FFE6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8.100.40\dsin\Users\Devi\Documents\OJK\DSIB\Buku%20Statistik\0710%20BUKU%20ASURANSI%20CETAK%20KE%202\KONVENSIONAL\JIWA\TABEL%203.10-3.11%20update%2023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visi%20Informasi%20IKNB\LaporanTahunan%202012\asuransi%20buku%202012\Direktori%20dan%20Buku%20Perasuransian%202012\FINAL%202011\Cetak\Key-indi2010%20(Hal%20xi%20-%20xiii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0"/>
      <sheetName val="3.11"/>
    </sheetNames>
    <sheetDataSet>
      <sheetData sheetId="0">
        <row r="53">
          <cell r="H53">
            <v>185118452.24160543</v>
          </cell>
        </row>
      </sheetData>
      <sheetData sheetId="1">
        <row r="13">
          <cell r="I13">
            <v>102738227.00965084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-IN"/>
      <sheetName val="2004-2008"/>
      <sheetName val="Sheet3"/>
      <sheetName val="Sheet4"/>
      <sheetName val="CETAK"/>
      <sheetName val="GP Konv"/>
    </sheetNames>
    <sheetDataSet>
      <sheetData sheetId="0"/>
      <sheetData sheetId="1"/>
      <sheetData sheetId="2">
        <row r="4">
          <cell r="I4">
            <v>33718946.908208944</v>
          </cell>
        </row>
      </sheetData>
      <sheetData sheetId="3"/>
      <sheetData sheetId="4"/>
      <sheetData sheetId="5">
        <row r="53">
          <cell r="D53">
            <v>54.063439138232049</v>
          </cell>
        </row>
        <row r="62">
          <cell r="D62">
            <v>38.187196805965435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"/>
  <sheetViews>
    <sheetView tabSelected="1" zoomScale="61" zoomScaleNormal="70" zoomScaleSheetLayoutView="100" workbookViewId="0">
      <pane xSplit="3" ySplit="5" topLeftCell="L17" activePane="bottomRight" state="frozen"/>
      <selection pane="topRight" activeCell="D1" sqref="D1"/>
      <selection pane="bottomLeft" activeCell="A6" sqref="A6"/>
      <selection pane="bottomRight" activeCell="Q31" sqref="Q31"/>
    </sheetView>
  </sheetViews>
  <sheetFormatPr defaultColWidth="9" defaultRowHeight="15.5"/>
  <cols>
    <col min="1" max="1" width="2.75" style="5" customWidth="1"/>
    <col min="2" max="2" width="2.83203125" style="5" customWidth="1"/>
    <col min="3" max="3" width="39.33203125" style="5" bestFit="1" customWidth="1"/>
    <col min="4" max="4" width="14.5" style="5" hidden="1" customWidth="1"/>
    <col min="5" max="7" width="15.83203125" style="5" hidden="1" customWidth="1"/>
    <col min="8" max="8" width="18.08203125" style="5" hidden="1" customWidth="1"/>
    <col min="9" max="11" width="18.58203125" style="5" customWidth="1"/>
    <col min="12" max="17" width="19.33203125" style="5" bestFit="1" customWidth="1"/>
    <col min="18" max="19" width="15" style="318" bestFit="1" customWidth="1"/>
    <col min="20" max="16384" width="9" style="5"/>
  </cols>
  <sheetData>
    <row r="1" spans="1:19" s="3" customFormat="1" ht="20.149999999999999" customHeight="1">
      <c r="A1" s="1" t="s">
        <v>0</v>
      </c>
      <c r="B1" s="2"/>
      <c r="C1" s="2"/>
      <c r="D1" s="2"/>
      <c r="E1" s="2"/>
      <c r="F1" s="2"/>
      <c r="G1" s="2"/>
      <c r="R1" s="317"/>
      <c r="S1" s="317"/>
    </row>
    <row r="2" spans="1:19" s="3" customFormat="1" ht="20.149999999999999" customHeight="1">
      <c r="A2" s="4" t="s">
        <v>1</v>
      </c>
      <c r="B2" s="2"/>
      <c r="C2" s="2"/>
      <c r="D2" s="2"/>
      <c r="E2" s="2"/>
      <c r="F2" s="2"/>
      <c r="G2" s="2"/>
      <c r="R2" s="317"/>
      <c r="S2" s="317"/>
    </row>
    <row r="3" spans="1:19" ht="16" thickBot="1"/>
    <row r="4" spans="1:19" ht="15.75" customHeight="1" thickTop="1">
      <c r="A4" s="332" t="s">
        <v>2</v>
      </c>
      <c r="B4" s="332"/>
      <c r="C4" s="332"/>
      <c r="D4" s="6">
        <v>2011</v>
      </c>
      <c r="E4" s="6">
        <v>2012</v>
      </c>
      <c r="F4" s="6">
        <v>2013</v>
      </c>
      <c r="G4" s="6">
        <v>2014</v>
      </c>
      <c r="H4" s="6">
        <v>2015</v>
      </c>
      <c r="I4" s="6">
        <v>2016</v>
      </c>
      <c r="J4" s="6">
        <v>2017</v>
      </c>
      <c r="K4" s="6">
        <v>2018</v>
      </c>
      <c r="L4" s="6">
        <v>2019</v>
      </c>
      <c r="M4" s="6">
        <v>2020</v>
      </c>
      <c r="N4" s="6">
        <v>2021</v>
      </c>
      <c r="O4" s="6">
        <v>2022</v>
      </c>
      <c r="P4" s="6">
        <v>2023</v>
      </c>
      <c r="Q4" s="6">
        <v>2024</v>
      </c>
    </row>
    <row r="5" spans="1:19" ht="16" thickBot="1">
      <c r="A5" s="7"/>
      <c r="B5" s="7"/>
      <c r="C5" s="286" t="s">
        <v>3</v>
      </c>
      <c r="D5" s="8">
        <v>-2</v>
      </c>
      <c r="E5" s="8">
        <v>-2</v>
      </c>
      <c r="F5" s="8">
        <v>-2</v>
      </c>
      <c r="H5" s="8" t="s">
        <v>176</v>
      </c>
      <c r="I5" s="8" t="s">
        <v>176</v>
      </c>
      <c r="J5" s="286" t="s">
        <v>175</v>
      </c>
      <c r="K5" s="286" t="s">
        <v>192</v>
      </c>
      <c r="L5" s="286" t="s">
        <v>193</v>
      </c>
      <c r="M5" s="286" t="s">
        <v>193</v>
      </c>
      <c r="N5" s="286" t="s">
        <v>193</v>
      </c>
      <c r="O5" s="286" t="s">
        <v>193</v>
      </c>
      <c r="P5" s="286" t="s">
        <v>193</v>
      </c>
      <c r="Q5" s="286" t="s">
        <v>193</v>
      </c>
    </row>
    <row r="6" spans="1:19" ht="15.75" customHeight="1" thickTop="1">
      <c r="A6" s="253">
        <v>1</v>
      </c>
      <c r="B6" s="333" t="s">
        <v>4</v>
      </c>
      <c r="C6" s="333"/>
      <c r="D6" s="254"/>
      <c r="E6" s="254"/>
      <c r="F6" s="254"/>
      <c r="G6" s="254"/>
      <c r="H6" s="287"/>
      <c r="I6" s="287"/>
      <c r="J6" s="287"/>
      <c r="K6" s="287"/>
      <c r="L6" s="287"/>
      <c r="M6" s="287"/>
      <c r="N6" s="287"/>
      <c r="O6" s="287"/>
      <c r="P6" s="287"/>
      <c r="Q6" s="287"/>
    </row>
    <row r="7" spans="1:19">
      <c r="A7" s="255"/>
      <c r="B7" s="256"/>
      <c r="C7" s="257" t="s">
        <v>5</v>
      </c>
      <c r="D7" s="254"/>
      <c r="E7" s="254"/>
      <c r="F7" s="254"/>
      <c r="G7" s="254"/>
      <c r="H7" s="287"/>
      <c r="I7" s="287"/>
      <c r="J7" s="287"/>
      <c r="K7" s="287"/>
      <c r="L7" s="287"/>
      <c r="M7" s="287"/>
      <c r="N7" s="316">
        <v>9.9560858277932804E-2</v>
      </c>
      <c r="O7" s="316">
        <v>0.15424482439509138</v>
      </c>
      <c r="P7" s="316">
        <v>6.6566338474554704E-2</v>
      </c>
      <c r="Q7" s="316">
        <v>5.966708900093684E-2</v>
      </c>
    </row>
    <row r="8" spans="1:19">
      <c r="A8" s="9"/>
      <c r="B8" s="10"/>
      <c r="C8" s="11" t="s">
        <v>190</v>
      </c>
      <c r="D8" s="287">
        <v>7427.1</v>
      </c>
      <c r="E8" s="287">
        <v>8241.9</v>
      </c>
      <c r="F8" s="287">
        <v>9084</v>
      </c>
      <c r="G8" s="287">
        <v>10569.705300000001</v>
      </c>
      <c r="H8" s="287">
        <v>11526.3328</v>
      </c>
      <c r="I8" s="287">
        <v>12401.728499999999</v>
      </c>
      <c r="J8" s="287">
        <v>13587.212599999999</v>
      </c>
      <c r="K8" s="287">
        <v>14837.3575</v>
      </c>
      <c r="L8" s="287">
        <v>15833.9434</v>
      </c>
      <c r="M8" s="287">
        <v>15434.1518</v>
      </c>
      <c r="N8" s="273">
        <v>16970.789199999901</v>
      </c>
      <c r="O8" s="273">
        <v>19588.445599999999</v>
      </c>
      <c r="P8" s="273">
        <v>20892.376700000001</v>
      </c>
      <c r="Q8" s="273">
        <v>22138.964</v>
      </c>
    </row>
    <row r="9" spans="1:19">
      <c r="A9" s="9"/>
      <c r="B9" s="10"/>
      <c r="C9" s="11" t="s">
        <v>9</v>
      </c>
      <c r="D9" s="287">
        <v>15.63</v>
      </c>
      <c r="E9" s="287">
        <v>10.97</v>
      </c>
      <c r="F9" s="287">
        <v>10.220000000000001</v>
      </c>
      <c r="G9" s="287">
        <v>16.355188243064745</v>
      </c>
      <c r="H9" s="287">
        <v>9.0506544208001589</v>
      </c>
      <c r="I9" s="287">
        <v>7.5947460062926435</v>
      </c>
      <c r="J9" s="287">
        <v>9.5590231635856231</v>
      </c>
      <c r="K9" s="287">
        <v>9.2008930514563456</v>
      </c>
      <c r="L9" s="287">
        <v>6.716734431990333</v>
      </c>
      <c r="M9" s="287">
        <v>-2.52490229313312</v>
      </c>
      <c r="N9" s="273">
        <v>9.9560858277932809</v>
      </c>
      <c r="O9" s="273">
        <v>15.424482439509138</v>
      </c>
      <c r="P9" s="273">
        <v>6.6566338474554705</v>
      </c>
      <c r="Q9" s="273">
        <v>5.9667089000936837</v>
      </c>
    </row>
    <row r="10" spans="1:19">
      <c r="A10" s="9"/>
      <c r="B10" s="10"/>
      <c r="C10" s="11" t="s">
        <v>191</v>
      </c>
      <c r="D10" s="287">
        <v>7287.6352999999999</v>
      </c>
      <c r="E10" s="287">
        <v>7727.0834000000004</v>
      </c>
      <c r="F10" s="287">
        <v>8156.4978000000001</v>
      </c>
      <c r="G10" s="287">
        <v>8564.8665999999994</v>
      </c>
      <c r="H10" s="287">
        <v>8982.5113000000001</v>
      </c>
      <c r="I10" s="287">
        <v>9434.6129999999994</v>
      </c>
      <c r="J10" s="287">
        <v>9912.7000000000007</v>
      </c>
      <c r="K10" s="287">
        <v>10425.3163</v>
      </c>
      <c r="L10" s="287">
        <v>10949.243700000001</v>
      </c>
      <c r="M10" s="287">
        <v>10722.4427</v>
      </c>
      <c r="N10" s="273">
        <v>11118.8685</v>
      </c>
      <c r="O10" s="273">
        <v>11710.397800000001</v>
      </c>
      <c r="P10" s="273">
        <v>12301.393599999999</v>
      </c>
      <c r="Q10" s="273">
        <v>12920.2817</v>
      </c>
    </row>
    <row r="11" spans="1:19">
      <c r="A11" s="9"/>
      <c r="B11" s="10"/>
      <c r="C11" s="11" t="s">
        <v>9</v>
      </c>
      <c r="D11" s="308">
        <v>6.1697842077100731E-2</v>
      </c>
      <c r="E11" s="289">
        <v>6.03</v>
      </c>
      <c r="F11" s="289">
        <v>5.56</v>
      </c>
      <c r="G11" s="289">
        <v>5.01</v>
      </c>
      <c r="H11" s="287">
        <v>4.88</v>
      </c>
      <c r="I11" s="287">
        <v>5.03</v>
      </c>
      <c r="J11" s="287">
        <v>5.0673726627684825</v>
      </c>
      <c r="K11" s="287">
        <v>5.1713085234093601</v>
      </c>
      <c r="L11" s="287">
        <v>5.0255300167727324</v>
      </c>
      <c r="M11" s="287">
        <v>-2.0713850765784056</v>
      </c>
      <c r="N11" s="273">
        <v>3.697159416855647</v>
      </c>
      <c r="O11" s="273">
        <v>5.3200494276913171</v>
      </c>
      <c r="P11" s="273">
        <v>5.0467610929493683</v>
      </c>
      <c r="Q11" s="273">
        <v>5.0310405481213136</v>
      </c>
    </row>
    <row r="12" spans="1:19">
      <c r="A12" s="9"/>
      <c r="B12" s="10"/>
      <c r="C12" s="10"/>
      <c r="D12" s="287"/>
      <c r="E12" s="287"/>
      <c r="F12" s="287"/>
      <c r="G12" s="287"/>
      <c r="H12" s="287"/>
      <c r="I12" s="287"/>
      <c r="J12" s="287"/>
      <c r="K12" s="287"/>
      <c r="L12" s="287"/>
      <c r="M12" s="287"/>
      <c r="N12" s="273"/>
      <c r="O12" s="273"/>
      <c r="P12" s="273"/>
      <c r="Q12" s="273"/>
    </row>
    <row r="13" spans="1:19" ht="15" customHeight="1">
      <c r="A13" s="12">
        <v>2</v>
      </c>
      <c r="B13" s="334" t="s">
        <v>17</v>
      </c>
      <c r="C13" s="334"/>
      <c r="D13" s="287">
        <v>3.79</v>
      </c>
      <c r="E13" s="287">
        <v>4.3</v>
      </c>
      <c r="F13" s="287">
        <v>8.3800000000000008</v>
      </c>
      <c r="G13" s="287">
        <v>8.06</v>
      </c>
      <c r="H13" s="287">
        <v>3.35</v>
      </c>
      <c r="I13" s="287">
        <v>3.02</v>
      </c>
      <c r="J13" s="287">
        <v>3.61</v>
      </c>
      <c r="K13" s="287">
        <v>3.13</v>
      </c>
      <c r="L13" s="287">
        <v>2.72</v>
      </c>
      <c r="M13" s="287">
        <v>1.68</v>
      </c>
      <c r="N13" s="273">
        <v>1.87</v>
      </c>
      <c r="O13" s="273">
        <v>5.51</v>
      </c>
      <c r="P13" s="273">
        <v>2.61</v>
      </c>
      <c r="Q13" s="273">
        <v>1.57</v>
      </c>
    </row>
    <row r="14" spans="1:19">
      <c r="A14" s="12"/>
      <c r="B14" s="10"/>
      <c r="C14" s="258"/>
      <c r="D14" s="287"/>
      <c r="E14" s="289"/>
      <c r="F14" s="289"/>
      <c r="G14" s="289"/>
      <c r="H14" s="287"/>
      <c r="I14" s="287"/>
      <c r="J14" s="287"/>
      <c r="K14" s="287"/>
      <c r="L14" s="287"/>
      <c r="M14" s="287"/>
      <c r="N14" s="313"/>
      <c r="O14" s="313"/>
      <c r="P14" s="313"/>
      <c r="Q14" s="313"/>
    </row>
    <row r="15" spans="1:19" ht="15" customHeight="1">
      <c r="A15" s="12">
        <v>3</v>
      </c>
      <c r="B15" s="334" t="s">
        <v>20</v>
      </c>
      <c r="C15" s="334"/>
      <c r="D15" s="287">
        <v>9068</v>
      </c>
      <c r="E15" s="287">
        <v>10025.385</v>
      </c>
      <c r="F15" s="287">
        <v>12189</v>
      </c>
      <c r="G15" s="287">
        <v>12440</v>
      </c>
      <c r="H15" s="287">
        <v>13795</v>
      </c>
      <c r="I15" s="287">
        <v>13436</v>
      </c>
      <c r="J15" s="287">
        <v>13565</v>
      </c>
      <c r="K15" s="287">
        <v>14152</v>
      </c>
      <c r="L15" s="287">
        <v>13901.005000000001</v>
      </c>
      <c r="M15" s="287">
        <v>14105.004999999999</v>
      </c>
      <c r="N15" s="273">
        <v>14269.005000000001</v>
      </c>
      <c r="O15" s="273">
        <v>15731</v>
      </c>
      <c r="P15" s="273">
        <v>15416</v>
      </c>
      <c r="Q15" s="273">
        <v>16162</v>
      </c>
    </row>
    <row r="16" spans="1:19">
      <c r="A16" s="12"/>
      <c r="B16" s="10"/>
      <c r="C16" s="258"/>
      <c r="D16" s="287"/>
      <c r="E16" s="289"/>
      <c r="F16" s="289"/>
      <c r="G16" s="289"/>
      <c r="H16" s="287"/>
      <c r="I16" s="287"/>
      <c r="J16" s="287"/>
      <c r="K16" s="287"/>
      <c r="L16" s="287"/>
      <c r="M16" s="287"/>
      <c r="N16" s="313"/>
      <c r="O16" s="313"/>
      <c r="P16" s="313"/>
      <c r="Q16" s="313"/>
    </row>
    <row r="17" spans="1:17" ht="15" customHeight="1">
      <c r="A17" s="12">
        <v>4</v>
      </c>
      <c r="B17" s="334" t="s">
        <v>21</v>
      </c>
      <c r="C17" s="334"/>
      <c r="D17" s="287">
        <v>241.1</v>
      </c>
      <c r="E17" s="287">
        <v>244</v>
      </c>
      <c r="F17" s="287">
        <v>248.8</v>
      </c>
      <c r="G17" s="287">
        <v>252</v>
      </c>
      <c r="H17" s="287">
        <v>255</v>
      </c>
      <c r="I17" s="287">
        <v>258.7</v>
      </c>
      <c r="J17" s="287">
        <v>261.89999999999998</v>
      </c>
      <c r="K17" s="287">
        <v>265.02</v>
      </c>
      <c r="L17" s="287">
        <v>267</v>
      </c>
      <c r="M17" s="287">
        <v>270.2</v>
      </c>
      <c r="N17" s="273">
        <v>272.6825</v>
      </c>
      <c r="O17" s="273">
        <v>275.77379999999999</v>
      </c>
      <c r="P17" s="273">
        <v>278.69600000000003</v>
      </c>
      <c r="Q17" s="273">
        <v>281.60300000000001</v>
      </c>
    </row>
    <row r="18" spans="1:17">
      <c r="A18" s="12"/>
      <c r="B18" s="10"/>
      <c r="C18" s="10"/>
      <c r="D18" s="288"/>
      <c r="E18" s="263"/>
      <c r="F18" s="263"/>
      <c r="G18" s="263"/>
      <c r="H18" s="287"/>
      <c r="I18" s="287"/>
      <c r="J18" s="287"/>
      <c r="K18" s="287"/>
      <c r="L18" s="287"/>
      <c r="M18" s="287"/>
      <c r="N18" s="287"/>
      <c r="O18" s="287"/>
      <c r="P18" s="287"/>
      <c r="Q18" s="287"/>
    </row>
    <row r="19" spans="1:17" ht="15" customHeight="1">
      <c r="A19" s="12">
        <v>5</v>
      </c>
      <c r="B19" s="272" t="s">
        <v>23</v>
      </c>
      <c r="C19" s="272"/>
      <c r="D19" s="288"/>
      <c r="E19" s="288"/>
      <c r="F19" s="288"/>
      <c r="G19" s="288"/>
      <c r="H19" s="287"/>
      <c r="I19" s="287"/>
      <c r="J19" s="287"/>
      <c r="K19" s="287"/>
      <c r="L19" s="287"/>
      <c r="M19" s="287"/>
      <c r="N19" s="287"/>
      <c r="O19" s="287"/>
      <c r="P19" s="287"/>
      <c r="Q19" s="287"/>
    </row>
    <row r="20" spans="1:17">
      <c r="A20" s="12"/>
      <c r="B20" s="10"/>
      <c r="C20" s="259" t="s">
        <v>24</v>
      </c>
      <c r="D20" s="287">
        <v>117.37</v>
      </c>
      <c r="E20" s="287">
        <v>118.05</v>
      </c>
      <c r="F20" s="287">
        <v>118.19</v>
      </c>
      <c r="G20" s="287">
        <v>121.872</v>
      </c>
      <c r="H20" s="287">
        <v>122.38</v>
      </c>
      <c r="I20" s="287">
        <v>125.44</v>
      </c>
      <c r="J20" s="287">
        <v>128.06</v>
      </c>
      <c r="K20" s="287">
        <v>131.01</v>
      </c>
      <c r="L20" s="287">
        <v>136.18</v>
      </c>
      <c r="M20" s="287">
        <v>138.22193799999999</v>
      </c>
      <c r="N20" s="273">
        <v>139.16399999999999</v>
      </c>
      <c r="O20" s="273">
        <v>137.26083700000001</v>
      </c>
      <c r="P20" s="273">
        <v>142.68760499999999</v>
      </c>
      <c r="Q20" s="273">
        <v>143.14393999999999</v>
      </c>
    </row>
    <row r="21" spans="1:17">
      <c r="A21" s="12"/>
      <c r="B21" s="10"/>
      <c r="C21" s="259" t="s">
        <v>25</v>
      </c>
      <c r="D21" s="289">
        <v>109.67</v>
      </c>
      <c r="E21" s="289">
        <v>110.81</v>
      </c>
      <c r="F21" s="289">
        <v>110.8</v>
      </c>
      <c r="G21" s="289">
        <v>114.6328032</v>
      </c>
      <c r="H21" s="287">
        <v>114.82</v>
      </c>
      <c r="I21" s="287">
        <v>118.41</v>
      </c>
      <c r="J21" s="287">
        <v>121.02</v>
      </c>
      <c r="K21" s="287">
        <v>124.01</v>
      </c>
      <c r="L21" s="287">
        <v>129.36600000000001</v>
      </c>
      <c r="M21" s="287">
        <v>128.44999999999999</v>
      </c>
      <c r="N21" s="273">
        <v>131.05000000000001</v>
      </c>
      <c r="O21" s="273">
        <v>135.29670999999999</v>
      </c>
      <c r="P21" s="273">
        <v>139.85239999999999</v>
      </c>
      <c r="Q21" s="273">
        <v>144.642</v>
      </c>
    </row>
    <row r="22" spans="1:17">
      <c r="A22" s="13"/>
      <c r="B22" s="14"/>
      <c r="C22" s="14"/>
      <c r="D22" s="290"/>
      <c r="E22" s="290"/>
      <c r="F22" s="290"/>
      <c r="G22" s="290"/>
      <c r="H22" s="287"/>
      <c r="I22" s="287"/>
      <c r="J22" s="287"/>
      <c r="K22" s="287"/>
      <c r="L22" s="287"/>
      <c r="M22" s="287"/>
      <c r="N22" s="287"/>
      <c r="O22" s="287"/>
      <c r="P22" s="287"/>
      <c r="Q22" s="287"/>
    </row>
    <row r="23" spans="1:17" ht="15" customHeight="1">
      <c r="A23" s="12">
        <v>6</v>
      </c>
      <c r="B23" s="334" t="s">
        <v>26</v>
      </c>
      <c r="C23" s="334"/>
      <c r="D23" s="288"/>
      <c r="E23" s="263"/>
      <c r="F23" s="263"/>
      <c r="G23" s="263"/>
      <c r="H23" s="287"/>
      <c r="I23" s="287"/>
      <c r="J23" s="287"/>
      <c r="K23" s="287"/>
      <c r="L23" s="287"/>
      <c r="M23" s="287"/>
      <c r="N23" s="287"/>
      <c r="O23" s="287"/>
      <c r="P23" s="287"/>
      <c r="Q23" s="287"/>
    </row>
    <row r="24" spans="1:17" ht="15" customHeight="1">
      <c r="A24" s="9"/>
      <c r="B24" s="336" t="s">
        <v>27</v>
      </c>
      <c r="C24" s="336"/>
      <c r="D24" s="291">
        <v>139</v>
      </c>
      <c r="E24" s="291">
        <v>140</v>
      </c>
      <c r="F24" s="291">
        <v>141</v>
      </c>
      <c r="G24" s="291">
        <v>141</v>
      </c>
      <c r="H24" s="299">
        <v>146</v>
      </c>
      <c r="I24" s="299">
        <v>145</v>
      </c>
      <c r="J24" s="299">
        <v>152</v>
      </c>
      <c r="K24" s="299">
        <v>151</v>
      </c>
      <c r="L24" s="299">
        <v>151</v>
      </c>
      <c r="M24" s="299">
        <v>148</v>
      </c>
      <c r="N24" s="314">
        <v>149</v>
      </c>
      <c r="O24" s="314">
        <v>150</v>
      </c>
      <c r="P24" s="314">
        <v>147</v>
      </c>
      <c r="Q24" s="314">
        <v>149</v>
      </c>
    </row>
    <row r="25" spans="1:17">
      <c r="A25" s="9"/>
      <c r="B25" s="10"/>
      <c r="C25" s="11" t="s">
        <v>28</v>
      </c>
      <c r="D25" s="291">
        <v>45</v>
      </c>
      <c r="E25" s="292">
        <v>47</v>
      </c>
      <c r="F25" s="292">
        <v>47</v>
      </c>
      <c r="G25" s="292">
        <v>50</v>
      </c>
      <c r="H25" s="291">
        <v>55</v>
      </c>
      <c r="I25" s="291">
        <v>55</v>
      </c>
      <c r="J25" s="291">
        <v>61</v>
      </c>
      <c r="K25" s="291">
        <v>60</v>
      </c>
      <c r="L25" s="291">
        <v>60</v>
      </c>
      <c r="M25" s="291">
        <v>59</v>
      </c>
      <c r="N25" s="315">
        <v>60</v>
      </c>
      <c r="O25" s="315">
        <v>59</v>
      </c>
      <c r="P25" s="315">
        <v>57</v>
      </c>
      <c r="Q25" s="315">
        <v>59</v>
      </c>
    </row>
    <row r="26" spans="1:17">
      <c r="A26" s="9"/>
      <c r="B26" s="10"/>
      <c r="C26" s="11" t="s">
        <v>29</v>
      </c>
      <c r="D26" s="291">
        <v>85</v>
      </c>
      <c r="E26" s="291">
        <v>84</v>
      </c>
      <c r="F26" s="291">
        <v>85</v>
      </c>
      <c r="G26" s="291">
        <v>81</v>
      </c>
      <c r="H26" s="291">
        <v>80</v>
      </c>
      <c r="I26" s="291">
        <v>80</v>
      </c>
      <c r="J26" s="291">
        <v>79</v>
      </c>
      <c r="K26" s="291">
        <v>79</v>
      </c>
      <c r="L26" s="291">
        <v>79</v>
      </c>
      <c r="M26" s="291">
        <v>77</v>
      </c>
      <c r="N26" s="315">
        <v>77</v>
      </c>
      <c r="O26" s="315">
        <v>78</v>
      </c>
      <c r="P26" s="315">
        <v>78</v>
      </c>
      <c r="Q26" s="315">
        <v>78</v>
      </c>
    </row>
    <row r="27" spans="1:17">
      <c r="A27" s="9"/>
      <c r="B27" s="10"/>
      <c r="C27" s="11" t="s">
        <v>30</v>
      </c>
      <c r="D27" s="291">
        <v>4</v>
      </c>
      <c r="E27" s="292">
        <v>4</v>
      </c>
      <c r="F27" s="292">
        <v>4</v>
      </c>
      <c r="G27" s="292">
        <v>5</v>
      </c>
      <c r="H27" s="291">
        <v>6</v>
      </c>
      <c r="I27" s="291">
        <v>5</v>
      </c>
      <c r="J27" s="291">
        <v>7</v>
      </c>
      <c r="K27" s="291">
        <v>7</v>
      </c>
      <c r="L27" s="291">
        <v>7</v>
      </c>
      <c r="M27" s="291">
        <v>7</v>
      </c>
      <c r="N27" s="315">
        <v>7</v>
      </c>
      <c r="O27" s="315">
        <v>8</v>
      </c>
      <c r="P27" s="315">
        <v>8</v>
      </c>
      <c r="Q27" s="315">
        <v>8</v>
      </c>
    </row>
    <row r="28" spans="1:17">
      <c r="A28" s="9"/>
      <c r="B28" s="10"/>
      <c r="C28" s="11" t="s">
        <v>185</v>
      </c>
      <c r="D28" s="291">
        <v>2</v>
      </c>
      <c r="E28" s="291">
        <v>2</v>
      </c>
      <c r="F28" s="291">
        <v>2</v>
      </c>
      <c r="G28" s="291">
        <v>2</v>
      </c>
      <c r="H28" s="291">
        <v>2</v>
      </c>
      <c r="I28" s="291">
        <v>2</v>
      </c>
      <c r="J28" s="291">
        <v>2</v>
      </c>
      <c r="K28" s="291">
        <v>2</v>
      </c>
      <c r="L28" s="291">
        <v>2</v>
      </c>
      <c r="M28" s="291">
        <v>2</v>
      </c>
      <c r="N28" s="315">
        <v>2</v>
      </c>
      <c r="O28" s="315">
        <v>2</v>
      </c>
      <c r="P28" s="315">
        <v>2</v>
      </c>
      <c r="Q28" s="315">
        <v>2</v>
      </c>
    </row>
    <row r="29" spans="1:17" ht="31">
      <c r="A29" s="9"/>
      <c r="B29" s="10"/>
      <c r="C29" s="11" t="s">
        <v>194</v>
      </c>
      <c r="D29" s="291">
        <v>3</v>
      </c>
      <c r="E29" s="291">
        <v>3</v>
      </c>
      <c r="F29" s="291">
        <v>3</v>
      </c>
      <c r="G29" s="291">
        <v>3</v>
      </c>
      <c r="H29" s="291">
        <v>3</v>
      </c>
      <c r="I29" s="291">
        <v>3</v>
      </c>
      <c r="J29" s="291">
        <v>3</v>
      </c>
      <c r="K29" s="291">
        <v>3</v>
      </c>
      <c r="L29" s="291">
        <v>3</v>
      </c>
      <c r="M29" s="291">
        <v>3</v>
      </c>
      <c r="N29" s="315">
        <v>3</v>
      </c>
      <c r="O29" s="315">
        <v>3</v>
      </c>
      <c r="P29" s="315">
        <v>2</v>
      </c>
      <c r="Q29" s="315">
        <v>2</v>
      </c>
    </row>
    <row r="30" spans="1:17" ht="15" customHeight="1">
      <c r="A30" s="9"/>
      <c r="B30" s="336" t="s">
        <v>33</v>
      </c>
      <c r="C30" s="336"/>
      <c r="D30" s="291">
        <v>165</v>
      </c>
      <c r="E30" s="291">
        <v>179</v>
      </c>
      <c r="F30" s="291">
        <v>182</v>
      </c>
      <c r="G30" s="291">
        <v>157</v>
      </c>
      <c r="H30" s="291">
        <v>203</v>
      </c>
      <c r="I30" s="291">
        <v>209</v>
      </c>
      <c r="J30" s="291">
        <v>212</v>
      </c>
      <c r="K30" s="291">
        <v>209</v>
      </c>
      <c r="L30" s="291">
        <v>202</v>
      </c>
      <c r="M30" s="291">
        <v>202</v>
      </c>
      <c r="N30" s="315">
        <v>196</v>
      </c>
      <c r="O30" s="315">
        <v>196</v>
      </c>
      <c r="P30" s="315">
        <v>190</v>
      </c>
      <c r="Q30" s="315">
        <v>191</v>
      </c>
    </row>
    <row r="31" spans="1:17" ht="15" customHeight="1">
      <c r="A31" s="9"/>
      <c r="B31" s="336" t="s">
        <v>34</v>
      </c>
      <c r="C31" s="336"/>
      <c r="D31" s="291">
        <v>27</v>
      </c>
      <c r="E31" s="292">
        <v>26</v>
      </c>
      <c r="F31" s="292">
        <v>25</v>
      </c>
      <c r="G31" s="292">
        <v>26</v>
      </c>
      <c r="H31" s="291">
        <v>28</v>
      </c>
      <c r="I31" s="291">
        <v>28</v>
      </c>
      <c r="J31" s="291">
        <v>27</v>
      </c>
      <c r="K31" s="291">
        <v>27</v>
      </c>
      <c r="L31" s="291">
        <v>27</v>
      </c>
      <c r="M31" s="291">
        <v>26</v>
      </c>
      <c r="N31" s="315">
        <v>27</v>
      </c>
      <c r="O31" s="315">
        <v>27</v>
      </c>
      <c r="P31" s="315">
        <v>27</v>
      </c>
      <c r="Q31" s="315">
        <v>29</v>
      </c>
    </row>
    <row r="32" spans="1:17">
      <c r="A32" s="15"/>
      <c r="B32" s="47"/>
      <c r="C32" s="47"/>
      <c r="D32" s="290"/>
      <c r="E32" s="290"/>
      <c r="F32" s="290"/>
      <c r="G32" s="290"/>
      <c r="H32" s="290"/>
      <c r="I32" s="290"/>
      <c r="J32" s="290"/>
      <c r="K32" s="290"/>
      <c r="L32" s="290"/>
      <c r="M32" s="290"/>
      <c r="N32" s="290"/>
      <c r="O32" s="290"/>
      <c r="P32" s="290"/>
      <c r="Q32" s="290"/>
    </row>
    <row r="33" spans="1:17" ht="15" customHeight="1">
      <c r="A33" s="12">
        <v>7</v>
      </c>
      <c r="B33" s="334" t="s">
        <v>36</v>
      </c>
      <c r="C33" s="334"/>
      <c r="D33" s="288"/>
      <c r="E33" s="263"/>
      <c r="F33" s="263"/>
      <c r="G33" s="263"/>
      <c r="H33" s="263"/>
      <c r="I33" s="263"/>
      <c r="J33" s="263"/>
      <c r="K33" s="311"/>
      <c r="L33" s="263"/>
      <c r="M33" s="263"/>
      <c r="N33" s="263"/>
      <c r="O33" s="263"/>
      <c r="P33" s="263"/>
      <c r="Q33" s="263"/>
    </row>
    <row r="34" spans="1:17">
      <c r="A34" s="9"/>
      <c r="B34" s="10"/>
      <c r="C34" s="11" t="s">
        <v>37</v>
      </c>
      <c r="D34" s="287">
        <v>644468</v>
      </c>
      <c r="E34" s="287">
        <v>720878.71311475406</v>
      </c>
      <c r="F34" s="287">
        <v>775985.97266881028</v>
      </c>
      <c r="G34" s="287">
        <v>981297.07</v>
      </c>
      <c r="H34" s="287">
        <v>1159070.2788632989</v>
      </c>
      <c r="I34" s="273">
        <v>1398472.9977245382</v>
      </c>
      <c r="J34" s="273">
        <v>1556731.685053234</v>
      </c>
      <c r="K34" s="273">
        <v>1635266.0200926687</v>
      </c>
      <c r="L34" s="273">
        <v>1801875.9309198093</v>
      </c>
      <c r="M34" s="273">
        <v>1862683.3496644448</v>
      </c>
      <c r="N34" s="273">
        <v>1947038.2769914018</v>
      </c>
      <c r="O34" s="273">
        <v>1966845.1227355255</v>
      </c>
      <c r="P34" s="273">
        <v>2019529.0637185003</v>
      </c>
      <c r="Q34" s="273">
        <v>2114701.6036220742</v>
      </c>
    </row>
    <row r="35" spans="1:17">
      <c r="A35" s="9"/>
      <c r="B35" s="10"/>
      <c r="C35" s="11" t="s">
        <v>174</v>
      </c>
      <c r="D35" s="301">
        <v>479.84</v>
      </c>
      <c r="E35" s="301">
        <v>584.02</v>
      </c>
      <c r="F35" s="301">
        <v>659.73176684941939</v>
      </c>
      <c r="G35" s="301">
        <v>807.68443979157701</v>
      </c>
      <c r="H35" s="301">
        <v>853.42480554585052</v>
      </c>
      <c r="I35" s="307">
        <v>1002.8274645617357</v>
      </c>
      <c r="J35" s="307">
        <v>1176.9677586965372</v>
      </c>
      <c r="K35" s="307">
        <v>1249.054342061946</v>
      </c>
      <c r="L35" s="307">
        <v>1357.1363694133852</v>
      </c>
      <c r="M35" s="273">
        <v>1450.3249141516471</v>
      </c>
      <c r="N35" s="273">
        <v>1643.8980316291947</v>
      </c>
      <c r="O35" s="273">
        <v>1776.4811947958995</v>
      </c>
      <c r="P35" s="273">
        <v>1885.6564863353101</v>
      </c>
      <c r="Q35" s="273">
        <v>1928.8164007224102</v>
      </c>
    </row>
    <row r="36" spans="1:17">
      <c r="A36" s="9"/>
      <c r="B36" s="10"/>
      <c r="C36" s="302" t="s">
        <v>39</v>
      </c>
      <c r="D36" s="288"/>
      <c r="E36" s="288"/>
      <c r="F36" s="288"/>
      <c r="G36" s="288"/>
      <c r="H36" s="288"/>
      <c r="I36" s="288"/>
      <c r="J36" s="288"/>
      <c r="K36" s="288"/>
      <c r="L36" s="288"/>
      <c r="M36" s="288"/>
      <c r="N36" s="288"/>
      <c r="O36" s="288"/>
      <c r="P36" s="288"/>
      <c r="Q36" s="288"/>
    </row>
    <row r="37" spans="1:17">
      <c r="A37" s="9"/>
      <c r="B37" s="10"/>
      <c r="C37" s="303" t="s">
        <v>40</v>
      </c>
      <c r="D37" s="304">
        <v>16.410922076881352</v>
      </c>
      <c r="E37" s="287">
        <v>35.948104276405758</v>
      </c>
      <c r="F37" s="287">
        <v>33.837902030824921</v>
      </c>
      <c r="G37" s="287">
        <v>31.674264815116704</v>
      </c>
      <c r="H37" s="287">
        <v>35.022186972451664</v>
      </c>
      <c r="I37" s="273">
        <v>34.367377594007223</v>
      </c>
      <c r="J37" s="273">
        <v>32.75808297894406</v>
      </c>
      <c r="K37" s="273">
        <v>31.909760299548452</v>
      </c>
      <c r="L37" s="273">
        <v>31.829283258341505</v>
      </c>
      <c r="M37" s="273">
        <v>32.935229320460593</v>
      </c>
      <c r="N37" s="273">
        <v>30.686877766063347</v>
      </c>
      <c r="O37" s="273">
        <v>29.323750087202676</v>
      </c>
      <c r="P37" s="273">
        <v>27.619940600343142</v>
      </c>
      <c r="Q37" s="273">
        <v>36.05670924045927</v>
      </c>
    </row>
    <row r="38" spans="1:17">
      <c r="A38" s="9"/>
      <c r="B38" s="10"/>
      <c r="C38" s="303" t="s">
        <v>43</v>
      </c>
      <c r="D38" s="287">
        <v>0.62797054031856303</v>
      </c>
      <c r="E38" s="287">
        <v>0.64589005681724598</v>
      </c>
      <c r="F38" s="287">
        <v>0.54403396882656807</v>
      </c>
      <c r="G38" s="287">
        <v>0.55919387844443669</v>
      </c>
      <c r="H38" s="287">
        <v>1.1709151700745646</v>
      </c>
      <c r="I38" s="287">
        <v>1.35</v>
      </c>
      <c r="J38" s="287">
        <v>1.4307039947002678</v>
      </c>
      <c r="K38" s="287">
        <v>1.3271879242373921</v>
      </c>
      <c r="L38" s="287">
        <v>1.2269180895634131</v>
      </c>
      <c r="M38" s="287">
        <v>1.2040933835746648</v>
      </c>
      <c r="N38" s="273">
        <v>1.3267687521596749</v>
      </c>
      <c r="O38" s="273">
        <v>0.9737500032715205</v>
      </c>
      <c r="P38" s="273">
        <v>0.84673710871415575</v>
      </c>
      <c r="Q38" s="273">
        <v>0.83251551622591735</v>
      </c>
    </row>
    <row r="39" spans="1:17" ht="15.75" customHeight="1">
      <c r="A39" s="9"/>
      <c r="B39" s="10"/>
      <c r="C39" s="303" t="s">
        <v>46</v>
      </c>
      <c r="D39" s="287">
        <v>0.4539988273782356</v>
      </c>
      <c r="E39" s="287">
        <v>0.54</v>
      </c>
      <c r="F39" s="287">
        <v>0.51050728751054697</v>
      </c>
      <c r="G39" s="287">
        <v>0.5</v>
      </c>
      <c r="H39" s="287">
        <v>0.5220385126024758</v>
      </c>
      <c r="I39" s="287">
        <v>0.54</v>
      </c>
      <c r="J39" s="287">
        <v>0.51823107146414693</v>
      </c>
      <c r="K39" s="287">
        <v>0.5220893177740713</v>
      </c>
      <c r="L39" s="287">
        <v>0.5653787118921999</v>
      </c>
      <c r="M39" s="287">
        <v>0.60197367721486295</v>
      </c>
      <c r="N39" s="273">
        <v>0.59018143332016471</v>
      </c>
      <c r="O39" s="273">
        <v>0.52474214248587447</v>
      </c>
      <c r="P39" s="273">
        <v>0.59769803806926369</v>
      </c>
      <c r="Q39" s="273">
        <v>0.59615708384967803</v>
      </c>
    </row>
    <row r="40" spans="1:17">
      <c r="A40" s="9"/>
      <c r="B40" s="10"/>
      <c r="C40" s="303" t="s">
        <v>49</v>
      </c>
      <c r="D40" s="288">
        <v>3.9550379412266201</v>
      </c>
      <c r="E40" s="288">
        <v>3.27</v>
      </c>
      <c r="F40" s="288">
        <v>3.233648425064318</v>
      </c>
      <c r="G40" s="288">
        <v>3.49</v>
      </c>
      <c r="H40" s="287">
        <v>3.2756352732064946</v>
      </c>
      <c r="I40" s="287">
        <v>3.64</v>
      </c>
      <c r="J40" s="287">
        <v>4.0218665555853361</v>
      </c>
      <c r="K40" s="287">
        <v>3.7430884714129795</v>
      </c>
      <c r="L40" s="287">
        <v>3.6288647409122361</v>
      </c>
      <c r="M40" s="287">
        <v>3.726111450158117</v>
      </c>
      <c r="N40" s="273">
        <v>4.092788212238136</v>
      </c>
      <c r="O40" s="273">
        <v>3.1530211624429252</v>
      </c>
      <c r="P40" s="273">
        <v>2.9607765742034031</v>
      </c>
      <c r="Q40" s="273">
        <v>2.7938566015137387</v>
      </c>
    </row>
    <row r="41" spans="1:17">
      <c r="A41" s="9"/>
      <c r="B41" s="10"/>
      <c r="C41" s="303" t="s">
        <v>50</v>
      </c>
      <c r="D41" s="288">
        <v>0.7536392472608362</v>
      </c>
      <c r="E41" s="288">
        <v>0.80685278879869937</v>
      </c>
      <c r="F41" s="288">
        <v>1.1827555059164543</v>
      </c>
      <c r="G41" s="288">
        <v>1.01</v>
      </c>
      <c r="H41" s="287">
        <v>1.0745686988896124</v>
      </c>
      <c r="I41" s="287">
        <v>1.1599999999999999</v>
      </c>
      <c r="J41" s="287">
        <v>1.1366669801184801</v>
      </c>
      <c r="K41" s="287">
        <v>1.1684146134603814</v>
      </c>
      <c r="L41" s="287">
        <v>1.2119509735066374</v>
      </c>
      <c r="M41" s="287">
        <v>1.3165674773524199</v>
      </c>
      <c r="N41" s="273">
        <v>1.4437352523491973</v>
      </c>
      <c r="O41" s="273">
        <v>1.208050363946489</v>
      </c>
      <c r="P41" s="273">
        <v>1.3009087005836921</v>
      </c>
      <c r="Q41" s="273">
        <v>1.3201981094825845</v>
      </c>
    </row>
    <row r="42" spans="1:17">
      <c r="A42" s="15"/>
      <c r="B42" s="14"/>
      <c r="C42" s="14"/>
      <c r="D42" s="290"/>
      <c r="E42" s="263"/>
      <c r="F42" s="263"/>
      <c r="G42" s="263"/>
      <c r="H42" s="263"/>
      <c r="I42" s="263"/>
      <c r="J42" s="263"/>
      <c r="K42" s="263"/>
      <c r="L42" s="263"/>
      <c r="M42" s="263"/>
      <c r="N42" s="263"/>
      <c r="O42" s="263"/>
      <c r="P42" s="263"/>
      <c r="Q42" s="263"/>
    </row>
    <row r="43" spans="1:17" ht="15" customHeight="1">
      <c r="A43" s="9"/>
      <c r="B43" s="338" t="s">
        <v>52</v>
      </c>
      <c r="C43" s="338"/>
      <c r="D43" s="305"/>
      <c r="E43" s="305"/>
      <c r="F43" s="305"/>
      <c r="G43" s="305"/>
      <c r="H43" s="305"/>
      <c r="I43" s="305"/>
      <c r="J43" s="305"/>
      <c r="K43" s="305"/>
      <c r="L43" s="305"/>
      <c r="M43" s="305"/>
      <c r="N43" s="305"/>
      <c r="O43" s="305"/>
      <c r="P43" s="305"/>
      <c r="Q43" s="305"/>
    </row>
    <row r="44" spans="1:17">
      <c r="A44" s="9"/>
      <c r="B44" s="10"/>
      <c r="C44" s="10"/>
      <c r="D44" s="116"/>
      <c r="E44" s="284"/>
      <c r="F44" s="284"/>
      <c r="G44" s="284"/>
      <c r="H44" s="284"/>
      <c r="I44" s="284"/>
      <c r="J44" s="284"/>
      <c r="K44" s="284"/>
      <c r="L44" s="284"/>
      <c r="M44" s="284"/>
      <c r="N44" s="284"/>
      <c r="O44" s="284"/>
      <c r="P44" s="284"/>
      <c r="Q44" s="284"/>
    </row>
    <row r="45" spans="1:17" ht="15" customHeight="1">
      <c r="A45" s="9"/>
      <c r="B45" s="336" t="s">
        <v>53</v>
      </c>
      <c r="C45" s="336"/>
      <c r="D45" s="116"/>
      <c r="E45" s="116"/>
      <c r="F45" s="116"/>
      <c r="G45" s="116"/>
      <c r="H45" s="271"/>
      <c r="I45" s="271"/>
      <c r="J45" s="271"/>
      <c r="K45" s="271"/>
      <c r="L45" s="271"/>
      <c r="M45" s="271"/>
      <c r="N45" s="271"/>
      <c r="O45" s="271"/>
      <c r="P45" s="271"/>
      <c r="Q45" s="271"/>
    </row>
    <row r="46" spans="1:17">
      <c r="A46" s="9"/>
      <c r="B46" s="10"/>
      <c r="C46" s="11" t="s">
        <v>56</v>
      </c>
      <c r="D46" s="271">
        <v>15424823.809999999</v>
      </c>
      <c r="E46" s="271">
        <v>15964094.07666583</v>
      </c>
      <c r="F46" s="285">
        <v>15424823.809999999</v>
      </c>
      <c r="G46" s="285">
        <v>15859030.566364501</v>
      </c>
      <c r="H46" s="271">
        <v>21398780.83258871</v>
      </c>
      <c r="I46" s="271">
        <v>19230906.5</v>
      </c>
      <c r="J46" s="271">
        <v>15581643.823249999</v>
      </c>
      <c r="K46" s="271">
        <v>15539271.561629999</v>
      </c>
      <c r="L46" s="271">
        <v>27334507.915760003</v>
      </c>
      <c r="M46" s="271">
        <v>18077093.782605555</v>
      </c>
      <c r="N46" s="271">
        <v>17590665.691199999</v>
      </c>
      <c r="O46" s="271">
        <v>22371521.881809998</v>
      </c>
      <c r="P46" s="271">
        <v>26431685</v>
      </c>
      <c r="Q46" s="271">
        <v>29638052</v>
      </c>
    </row>
    <row r="47" spans="1:17">
      <c r="A47" s="9"/>
      <c r="B47" s="10"/>
      <c r="C47" s="11" t="s">
        <v>136</v>
      </c>
      <c r="D47" s="271">
        <v>930.18</v>
      </c>
      <c r="E47" s="271">
        <v>1117.2465360000001</v>
      </c>
      <c r="F47" s="271">
        <v>1218.8555935720549</v>
      </c>
      <c r="G47" s="271">
        <v>975.88573686896552</v>
      </c>
      <c r="H47" s="271">
        <v>1141.747203233547</v>
      </c>
      <c r="I47" s="271">
        <v>1300.8209981276063</v>
      </c>
      <c r="J47" s="271">
        <v>1055.3302732641498</v>
      </c>
      <c r="K47" s="271">
        <v>1134.739758960696</v>
      </c>
      <c r="L47" s="271">
        <v>1128.5368618612399</v>
      </c>
      <c r="M47" s="271">
        <v>1053.7165873206375</v>
      </c>
      <c r="N47" s="271">
        <v>1116.1977917472898</v>
      </c>
      <c r="O47" s="271">
        <v>1378.4509399221599</v>
      </c>
      <c r="P47" s="271">
        <v>1659.6230916152203</v>
      </c>
      <c r="Q47" s="271">
        <v>4237.4162720938402</v>
      </c>
    </row>
    <row r="48" spans="1:17" ht="16" thickBot="1">
      <c r="A48" s="17"/>
      <c r="B48" s="18"/>
      <c r="C48" s="19" t="s">
        <v>137</v>
      </c>
      <c r="D48" s="271">
        <v>46.64</v>
      </c>
      <c r="E48" s="271">
        <v>53.233612592820592</v>
      </c>
      <c r="F48" s="271">
        <v>49.420045728205437</v>
      </c>
      <c r="G48" s="271">
        <v>58.954133022761624</v>
      </c>
      <c r="H48" s="271">
        <v>65.409689866745396</v>
      </c>
      <c r="I48" s="271">
        <v>79.494010823857082</v>
      </c>
      <c r="J48" s="271">
        <v>91.350552242189991</v>
      </c>
      <c r="K48" s="271">
        <v>90.755378063787958</v>
      </c>
      <c r="L48" s="271">
        <v>100.59362139109001</v>
      </c>
      <c r="M48" s="271">
        <v>99.160297664777246</v>
      </c>
      <c r="N48" s="271">
        <v>88.629524418754002</v>
      </c>
      <c r="O48" s="271">
        <v>86.236143202710011</v>
      </c>
      <c r="P48" s="271">
        <v>70.348269280640011</v>
      </c>
      <c r="Q48" s="271">
        <v>57.535485167109996</v>
      </c>
    </row>
    <row r="49" spans="1:19" ht="16" thickBot="1">
      <c r="A49" s="20"/>
      <c r="B49" s="21"/>
      <c r="C49" s="21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</row>
    <row r="50" spans="1:19" ht="15.75" customHeight="1">
      <c r="A50" s="339" t="s">
        <v>59</v>
      </c>
      <c r="B50" s="339"/>
      <c r="C50" s="339"/>
      <c r="D50" s="23"/>
      <c r="H50" s="294"/>
      <c r="I50" s="294"/>
      <c r="J50" s="294"/>
      <c r="K50" s="294"/>
      <c r="L50" s="294"/>
      <c r="M50" s="294"/>
      <c r="N50" s="294"/>
      <c r="O50" s="294"/>
      <c r="P50" s="294"/>
      <c r="Q50" s="294"/>
    </row>
    <row r="51" spans="1:19" ht="15.75" customHeight="1">
      <c r="A51" s="340" t="s">
        <v>60</v>
      </c>
      <c r="B51" s="340"/>
      <c r="C51" s="340"/>
      <c r="D51" s="23"/>
      <c r="H51" s="294"/>
      <c r="I51" s="294"/>
      <c r="J51" s="294"/>
      <c r="K51" s="294"/>
      <c r="L51" s="294"/>
      <c r="M51" s="294"/>
      <c r="N51" s="294"/>
      <c r="O51" s="294"/>
      <c r="P51" s="294"/>
      <c r="Q51" s="294"/>
    </row>
    <row r="52" spans="1:19" ht="15.75" customHeight="1">
      <c r="A52" s="340" t="s">
        <v>61</v>
      </c>
      <c r="B52" s="340"/>
      <c r="C52" s="340"/>
      <c r="D52" s="23"/>
    </row>
    <row r="54" spans="1:19" ht="16.5" customHeight="1" thickBot="1">
      <c r="A54" s="341" t="s">
        <v>62</v>
      </c>
      <c r="B54" s="341"/>
      <c r="C54" s="341"/>
    </row>
    <row r="55" spans="1:19" ht="16.5" thickTop="1" thickBot="1">
      <c r="A55" s="24"/>
      <c r="B55" s="24"/>
      <c r="C55" s="25">
        <v>-1</v>
      </c>
      <c r="D55" s="274">
        <v>-2</v>
      </c>
      <c r="E55" s="274">
        <v>-2</v>
      </c>
      <c r="F55" s="8">
        <v>-2</v>
      </c>
      <c r="G55" s="8" t="s">
        <v>176</v>
      </c>
      <c r="H55" s="286" t="s">
        <v>175</v>
      </c>
      <c r="I55" s="286" t="s">
        <v>192</v>
      </c>
      <c r="J55" s="286" t="s">
        <v>193</v>
      </c>
      <c r="K55" s="286" t="s">
        <v>193</v>
      </c>
      <c r="L55" s="286" t="s">
        <v>193</v>
      </c>
      <c r="M55" s="286" t="s">
        <v>193</v>
      </c>
      <c r="N55" s="286" t="s">
        <v>193</v>
      </c>
      <c r="O55" s="286" t="s">
        <v>193</v>
      </c>
      <c r="P55" s="286" t="s">
        <v>193</v>
      </c>
      <c r="Q55" s="286" t="s">
        <v>193</v>
      </c>
    </row>
    <row r="56" spans="1:19" ht="16.5" customHeight="1" thickTop="1">
      <c r="A56" s="26"/>
      <c r="B56" s="337" t="s">
        <v>63</v>
      </c>
      <c r="C56" s="337"/>
      <c r="D56" s="27"/>
    </row>
    <row r="57" spans="1:19" s="319" customFormat="1">
      <c r="A57" s="326"/>
      <c r="B57" s="325"/>
      <c r="C57" s="324" t="s">
        <v>56</v>
      </c>
      <c r="D57" s="323">
        <v>44450624.905062102</v>
      </c>
      <c r="E57" s="322">
        <v>49682841.436614707</v>
      </c>
      <c r="F57" s="322">
        <v>44450624.905062102</v>
      </c>
      <c r="G57" s="322">
        <v>49070446.972331449</v>
      </c>
      <c r="H57" s="321">
        <v>47824727.561489686</v>
      </c>
      <c r="I57" s="321">
        <v>43756566.255813956</v>
      </c>
      <c r="J57" s="321">
        <v>44393016.019820005</v>
      </c>
      <c r="K57" s="321">
        <v>45599009.682040006</v>
      </c>
      <c r="L57" s="321">
        <v>44698794.871629998</v>
      </c>
      <c r="M57" s="321">
        <v>43804410.791051</v>
      </c>
      <c r="N57" s="321">
        <v>38213650.341199994</v>
      </c>
      <c r="O57" s="321">
        <v>28570323.337860003</v>
      </c>
      <c r="P57" s="321">
        <v>27985512.000009999</v>
      </c>
      <c r="Q57" s="321">
        <v>33377449</v>
      </c>
      <c r="R57" s="320"/>
      <c r="S57" s="320"/>
    </row>
    <row r="58" spans="1:19">
      <c r="A58" s="28"/>
      <c r="B58" s="10"/>
      <c r="C58" s="11" t="s">
        <v>136</v>
      </c>
      <c r="D58" s="275">
        <v>2241</v>
      </c>
      <c r="E58" s="276">
        <v>2657.82</v>
      </c>
      <c r="F58" s="310">
        <v>2551.3730437174186</v>
      </c>
      <c r="G58" s="277">
        <v>2622.1110004785764</v>
      </c>
      <c r="H58" s="271">
        <v>3192.5705389102704</v>
      </c>
      <c r="I58" s="271">
        <v>3550.1413536348318</v>
      </c>
      <c r="J58" s="271">
        <v>3776.6969287819497</v>
      </c>
      <c r="K58" s="271">
        <v>3896.2145545405565</v>
      </c>
      <c r="L58" s="271">
        <v>4227.7435921401084</v>
      </c>
      <c r="M58" s="271">
        <v>4329.1911699774209</v>
      </c>
      <c r="N58" s="271">
        <v>4395.1493072677004</v>
      </c>
      <c r="O58" s="271">
        <v>4626.6078933923809</v>
      </c>
      <c r="P58" s="271">
        <v>5028.9893089697507</v>
      </c>
      <c r="Q58" s="271">
        <v>7949.5297126947107</v>
      </c>
    </row>
    <row r="59" spans="1:19">
      <c r="A59" s="28"/>
      <c r="B59" s="10"/>
      <c r="C59" s="11" t="s">
        <v>132</v>
      </c>
      <c r="D59" s="276">
        <v>89.77</v>
      </c>
      <c r="E59" s="276">
        <v>108.33</v>
      </c>
      <c r="F59" s="276">
        <v>110.055918184633</v>
      </c>
      <c r="G59" s="276">
        <v>115.15251532757301</v>
      </c>
      <c r="H59" s="271">
        <v>135.36553471282912</v>
      </c>
      <c r="I59" s="271">
        <v>164.45741139462015</v>
      </c>
      <c r="J59" s="271">
        <v>175.24960107849</v>
      </c>
      <c r="K59" s="271">
        <v>189.31745346902113</v>
      </c>
      <c r="L59" s="271">
        <v>196.12409327041001</v>
      </c>
      <c r="M59" s="271">
        <v>186.95951355727161</v>
      </c>
      <c r="N59" s="271">
        <v>205.38136847936605</v>
      </c>
      <c r="O59" s="271">
        <v>191.72934012255001</v>
      </c>
      <c r="P59" s="271">
        <v>171.19538384788001</v>
      </c>
      <c r="Q59" s="271">
        <v>180.78102462470997</v>
      </c>
    </row>
    <row r="60" spans="1:19" ht="17.25" customHeight="1">
      <c r="A60" s="28"/>
      <c r="B60" s="10"/>
      <c r="C60" s="11" t="s">
        <v>67</v>
      </c>
      <c r="D60" s="260">
        <v>16.02</v>
      </c>
      <c r="E60" s="260">
        <v>20.361820260907667</v>
      </c>
      <c r="F60" s="260">
        <v>17.866006794639109</v>
      </c>
      <c r="G60" s="260">
        <v>19.472399592195018</v>
      </c>
      <c r="H60" s="271">
        <v>18.754795122152817</v>
      </c>
      <c r="I60" s="271">
        <v>16.914018653194418</v>
      </c>
      <c r="J60" s="271">
        <v>16.950368850637652</v>
      </c>
      <c r="K60" s="271">
        <v>17.205874908323903</v>
      </c>
      <c r="L60" s="271">
        <v>16.74112167476779</v>
      </c>
      <c r="M60" s="271">
        <v>16.211847072927831</v>
      </c>
      <c r="N60" s="271">
        <v>14.013972418912102</v>
      </c>
      <c r="O60" s="271">
        <v>10.360057169266987</v>
      </c>
      <c r="P60" s="271">
        <v>4.0516384655108073</v>
      </c>
      <c r="Q60" s="271">
        <v>11.852661015685202</v>
      </c>
    </row>
    <row r="61" spans="1:19">
      <c r="A61" s="28"/>
      <c r="B61" s="10"/>
      <c r="C61" s="10"/>
      <c r="D61" s="275"/>
      <c r="E61" s="275"/>
      <c r="F61" s="278"/>
      <c r="G61" s="278"/>
      <c r="H61" s="278"/>
      <c r="I61" s="278"/>
      <c r="J61" s="278"/>
      <c r="K61" s="278"/>
      <c r="L61" s="278"/>
      <c r="M61" s="278"/>
      <c r="N61" s="278"/>
      <c r="O61" s="278"/>
      <c r="P61" s="278"/>
      <c r="Q61" s="278"/>
    </row>
    <row r="62" spans="1:19" ht="15.75" customHeight="1">
      <c r="A62" s="28"/>
      <c r="B62" s="330" t="s">
        <v>169</v>
      </c>
      <c r="C62" s="330"/>
      <c r="D62" s="276">
        <v>210.68961219791046</v>
      </c>
      <c r="E62" s="276">
        <v>188.35352156356601</v>
      </c>
      <c r="F62" s="276">
        <v>210.68961219791046</v>
      </c>
      <c r="G62" s="276">
        <v>222.06753825300714</v>
      </c>
      <c r="H62" s="271">
        <v>248.70475395614551</v>
      </c>
      <c r="I62" s="271">
        <v>337.7918617400677</v>
      </c>
      <c r="J62" s="271">
        <v>391.02783097309407</v>
      </c>
      <c r="K62" s="271">
        <v>412.56651388086101</v>
      </c>
      <c r="L62" s="271">
        <v>405.00062057396002</v>
      </c>
      <c r="M62" s="271">
        <v>411.92548646577546</v>
      </c>
      <c r="N62" s="271">
        <v>435.94664144297991</v>
      </c>
      <c r="O62" s="271">
        <v>412.23282419961998</v>
      </c>
      <c r="P62" s="271">
        <v>367.03498303250001</v>
      </c>
      <c r="Q62" s="271">
        <v>366.92294045475006</v>
      </c>
    </row>
    <row r="63" spans="1:19">
      <c r="A63" s="28"/>
      <c r="B63" s="10"/>
      <c r="C63" s="10"/>
      <c r="D63" s="275"/>
      <c r="E63" s="275"/>
      <c r="F63" s="278"/>
      <c r="G63" s="278"/>
      <c r="H63" s="278"/>
      <c r="I63" s="278"/>
      <c r="J63" s="278"/>
      <c r="K63" s="278"/>
      <c r="L63" s="278"/>
      <c r="M63" s="278"/>
      <c r="N63" s="278"/>
      <c r="O63" s="278"/>
      <c r="P63" s="278"/>
      <c r="Q63" s="278"/>
    </row>
    <row r="64" spans="1:19" ht="15.75" customHeight="1">
      <c r="A64" s="28"/>
      <c r="B64" s="330" t="s">
        <v>131</v>
      </c>
      <c r="C64" s="330"/>
      <c r="D64" s="276">
        <v>293.74462293284262</v>
      </c>
      <c r="E64" s="276">
        <v>269.25</v>
      </c>
      <c r="F64" s="276">
        <v>293.74462293284262</v>
      </c>
      <c r="G64" s="276">
        <v>368.06252544524182</v>
      </c>
      <c r="H64" s="271">
        <v>378.03418149541727</v>
      </c>
      <c r="I64" s="271">
        <v>451.03027629222009</v>
      </c>
      <c r="J64" s="271">
        <v>546.63549155682006</v>
      </c>
      <c r="K64" s="271">
        <v>555.37541804482908</v>
      </c>
      <c r="L64" s="271">
        <v>574.59238913860008</v>
      </c>
      <c r="M64" s="271">
        <v>575.09369745458514</v>
      </c>
      <c r="N64" s="271">
        <v>631.68714552934011</v>
      </c>
      <c r="O64" s="271">
        <v>617.62783516162006</v>
      </c>
      <c r="P64" s="271">
        <v>618.57659512792998</v>
      </c>
      <c r="Q64" s="271">
        <v>618.53090722075001</v>
      </c>
      <c r="R64" s="271"/>
      <c r="S64" s="271"/>
    </row>
    <row r="65" spans="1:17">
      <c r="A65" s="279"/>
      <c r="B65" s="280"/>
      <c r="C65" s="280"/>
      <c r="D65" s="281"/>
      <c r="E65" s="281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</row>
    <row r="66" spans="1:17" ht="15" customHeight="1">
      <c r="A66" s="335" t="s">
        <v>74</v>
      </c>
      <c r="B66" s="335"/>
      <c r="C66" s="335"/>
      <c r="D66" s="335"/>
      <c r="E66" s="335"/>
      <c r="F66" s="335"/>
      <c r="G66" s="335"/>
      <c r="H66" s="300"/>
      <c r="I66" s="300"/>
      <c r="J66" s="300"/>
      <c r="K66" s="300"/>
      <c r="L66" s="300"/>
      <c r="M66" s="300"/>
      <c r="N66" s="300"/>
      <c r="O66" s="300"/>
      <c r="P66" s="300"/>
      <c r="Q66" s="300"/>
    </row>
    <row r="67" spans="1:17">
      <c r="A67" s="282"/>
      <c r="B67" s="256"/>
      <c r="C67" s="256"/>
      <c r="D67" s="283"/>
      <c r="H67" s="273"/>
      <c r="I67" s="273"/>
      <c r="J67" s="273"/>
      <c r="K67" s="273"/>
      <c r="L67" s="273"/>
      <c r="M67" s="273"/>
      <c r="N67" s="273"/>
      <c r="O67" s="273"/>
      <c r="P67" s="273"/>
      <c r="Q67" s="273"/>
    </row>
    <row r="68" spans="1:17" ht="15.75" customHeight="1">
      <c r="A68" s="28"/>
      <c r="B68" s="330" t="s">
        <v>170</v>
      </c>
      <c r="C68" s="330"/>
      <c r="D68" s="30">
        <v>33.718946908208942</v>
      </c>
      <c r="E68" s="30">
        <v>44.238493707042004</v>
      </c>
      <c r="F68" s="30">
        <v>46.374481997458055</v>
      </c>
      <c r="G68" s="273">
        <v>54.700991579242299</v>
      </c>
      <c r="H68" s="273">
        <v>60.247367414498235</v>
      </c>
      <c r="I68" s="273">
        <v>66.60609552681855</v>
      </c>
      <c r="J68" s="273">
        <v>70.421383839119997</v>
      </c>
      <c r="K68" s="273">
        <v>77.464258547450001</v>
      </c>
      <c r="L68" s="273">
        <v>89.52174523666001</v>
      </c>
      <c r="M68" s="273">
        <v>92.909531137383951</v>
      </c>
      <c r="N68" s="273">
        <v>91.08949831404999</v>
      </c>
      <c r="O68" s="273">
        <v>102.78882912112</v>
      </c>
      <c r="P68" s="273">
        <v>124.87332564193999</v>
      </c>
      <c r="Q68" s="273">
        <v>131.98300217693003</v>
      </c>
    </row>
    <row r="69" spans="1:17" ht="15.75" customHeight="1">
      <c r="A69" s="28"/>
      <c r="B69" s="331" t="s">
        <v>76</v>
      </c>
      <c r="C69" s="331"/>
      <c r="D69" s="29"/>
      <c r="E69" s="29"/>
      <c r="F69" s="37"/>
      <c r="G69" s="37"/>
      <c r="H69" s="273"/>
      <c r="I69" s="273"/>
      <c r="J69" s="273"/>
      <c r="K69" s="273"/>
      <c r="L69" s="273"/>
      <c r="M69" s="273"/>
      <c r="N69" s="273"/>
      <c r="O69" s="273"/>
      <c r="P69" s="273"/>
      <c r="Q69" s="273"/>
    </row>
    <row r="70" spans="1:17">
      <c r="A70" s="28"/>
      <c r="B70" s="10"/>
      <c r="C70" s="11" t="s">
        <v>77</v>
      </c>
      <c r="D70" s="261">
        <v>18479176.437448584</v>
      </c>
      <c r="E70" s="261">
        <v>26034592.463109534</v>
      </c>
      <c r="F70" s="261">
        <v>28583316.868300848</v>
      </c>
      <c r="G70" s="261">
        <v>30126686.035378557</v>
      </c>
      <c r="H70" s="273">
        <v>34718237.939982064</v>
      </c>
      <c r="I70" s="273">
        <v>35321836.912326105</v>
      </c>
      <c r="J70" s="273">
        <v>40319205.549054332</v>
      </c>
      <c r="K70" s="273">
        <v>44655310.806083001</v>
      </c>
      <c r="L70" s="273">
        <v>51613640.204086371</v>
      </c>
      <c r="M70" s="273">
        <v>49727330.579195969</v>
      </c>
      <c r="N70" s="273">
        <v>51632607.738934241</v>
      </c>
      <c r="O70" s="273">
        <v>57273498.680458866</v>
      </c>
      <c r="P70" s="273">
        <v>74382179.271789998</v>
      </c>
      <c r="Q70" s="273">
        <v>76350051.320229977</v>
      </c>
    </row>
    <row r="71" spans="1:17">
      <c r="A71" s="28"/>
      <c r="B71" s="10"/>
      <c r="C71" s="11" t="s">
        <v>79</v>
      </c>
      <c r="D71" s="261">
        <v>2477727.321112507</v>
      </c>
      <c r="E71" s="261">
        <v>3706308.9099202231</v>
      </c>
      <c r="F71" s="293">
        <v>3776188.346334863</v>
      </c>
      <c r="G71" s="293">
        <v>4784321.7340455372</v>
      </c>
      <c r="H71" s="273">
        <v>6231137.5533403615</v>
      </c>
      <c r="I71" s="273">
        <v>7010236.1988454396</v>
      </c>
      <c r="J71" s="273">
        <v>7263980.5006000008</v>
      </c>
      <c r="K71" s="273">
        <v>7913891.9752799999</v>
      </c>
      <c r="L71" s="273">
        <v>8724568.1156197321</v>
      </c>
      <c r="M71" s="273">
        <v>8026209.482776599</v>
      </c>
      <c r="N71" s="273">
        <v>9028720.9855699986</v>
      </c>
      <c r="O71" s="273">
        <v>10029132.403284065</v>
      </c>
      <c r="P71" s="273">
        <v>9533212.2323000003</v>
      </c>
      <c r="Q71" s="273">
        <v>10087037.579089999</v>
      </c>
    </row>
    <row r="72" spans="1:17">
      <c r="A72" s="28"/>
      <c r="B72" s="10"/>
      <c r="C72" s="11" t="s">
        <v>81</v>
      </c>
      <c r="D72" s="261">
        <v>7838900.8245647382</v>
      </c>
      <c r="E72" s="261">
        <v>10840931.079780642</v>
      </c>
      <c r="F72" s="261">
        <v>11413682.985548142</v>
      </c>
      <c r="G72" s="261">
        <v>10793821.733470853</v>
      </c>
      <c r="H72" s="273">
        <v>13341652.195060058</v>
      </c>
      <c r="I72" s="273">
        <v>13043551.142802276</v>
      </c>
      <c r="J72" s="273">
        <v>14038466.188090004</v>
      </c>
      <c r="K72" s="273">
        <v>13955226.00202</v>
      </c>
      <c r="L72" s="273">
        <v>13906528.028981261</v>
      </c>
      <c r="M72" s="273">
        <v>11597765.239455942</v>
      </c>
      <c r="N72" s="273">
        <v>12214777.052900001</v>
      </c>
      <c r="O72" s="273">
        <v>14486248.91808041</v>
      </c>
      <c r="P72" s="273">
        <v>16305358.47742</v>
      </c>
      <c r="Q72" s="273">
        <v>16466646.569870001</v>
      </c>
    </row>
    <row r="73" spans="1:17">
      <c r="A73" s="28"/>
      <c r="B73" s="10"/>
      <c r="C73" s="11" t="s">
        <v>83</v>
      </c>
      <c r="D73" s="261">
        <v>1241347.9837718087</v>
      </c>
      <c r="E73" s="261">
        <v>1530132.23506624</v>
      </c>
      <c r="F73" s="293">
        <v>1534460.288144123</v>
      </c>
      <c r="G73" s="293">
        <v>1600111.9011891836</v>
      </c>
      <c r="H73" s="273">
        <v>1806479.8709980093</v>
      </c>
      <c r="I73" s="273">
        <v>1588962.4202788228</v>
      </c>
      <c r="J73" s="273">
        <v>1740565.9942400001</v>
      </c>
      <c r="K73" s="273">
        <v>1931798.0150099995</v>
      </c>
      <c r="L73" s="273">
        <v>2004912.127366682</v>
      </c>
      <c r="M73" s="273">
        <v>1681547.6770018246</v>
      </c>
      <c r="N73" s="273">
        <v>2009770.3221000005</v>
      </c>
      <c r="O73" s="273">
        <v>2362940.9366149958</v>
      </c>
      <c r="P73" s="273">
        <v>2527859.3178899991</v>
      </c>
      <c r="Q73" s="273">
        <v>2787694.1288299998</v>
      </c>
    </row>
    <row r="74" spans="1:17">
      <c r="A74" s="28"/>
      <c r="B74" s="10"/>
      <c r="C74" s="11" t="s">
        <v>84</v>
      </c>
      <c r="D74" s="261">
        <v>462006.14359973819</v>
      </c>
      <c r="E74" s="261">
        <v>593827.17418569745</v>
      </c>
      <c r="F74" s="261">
        <v>606845.58570666856</v>
      </c>
      <c r="G74" s="261">
        <v>571071.4757622825</v>
      </c>
      <c r="H74" s="273">
        <v>575544.93264543219</v>
      </c>
      <c r="I74" s="273">
        <v>892922.51955224003</v>
      </c>
      <c r="J74" s="273">
        <v>754698.42503999989</v>
      </c>
      <c r="K74" s="273">
        <v>668286.7959899999</v>
      </c>
      <c r="L74" s="273">
        <v>837675.6308678498</v>
      </c>
      <c r="M74" s="273">
        <v>834529.77505448286</v>
      </c>
      <c r="N74" s="273">
        <v>1074779.0086099999</v>
      </c>
      <c r="O74" s="273">
        <v>1038042.2773198193</v>
      </c>
      <c r="P74" s="273">
        <v>1126470.8577100001</v>
      </c>
      <c r="Q74" s="273">
        <v>1093569.5851100001</v>
      </c>
    </row>
    <row r="75" spans="1:17">
      <c r="A75" s="28"/>
      <c r="B75" s="10"/>
      <c r="C75" s="11" t="s">
        <v>85</v>
      </c>
      <c r="D75" s="261">
        <v>107559.96931757424</v>
      </c>
      <c r="E75" s="261">
        <v>88369.211859967763</v>
      </c>
      <c r="F75" s="293">
        <v>88369.081859967759</v>
      </c>
      <c r="G75" s="293">
        <v>88369.211859967763</v>
      </c>
      <c r="H75" s="273">
        <v>101431.78740188679</v>
      </c>
      <c r="I75" s="273">
        <v>150182.27906513339</v>
      </c>
      <c r="J75" s="273">
        <v>123893.09939000002</v>
      </c>
      <c r="K75" s="273">
        <v>101751.475393</v>
      </c>
      <c r="L75" s="273">
        <v>169452.05205000003</v>
      </c>
      <c r="M75" s="273">
        <v>135032.34889000014</v>
      </c>
      <c r="N75" s="273">
        <v>113578.27244</v>
      </c>
      <c r="O75" s="273">
        <v>125207.09172248226</v>
      </c>
      <c r="P75" s="273">
        <v>157626.48629999999</v>
      </c>
      <c r="Q75" s="273">
        <v>238035.56334999987</v>
      </c>
    </row>
    <row r="76" spans="1:17">
      <c r="A76" s="28"/>
      <c r="B76" s="10"/>
      <c r="C76" s="11" t="s">
        <v>86</v>
      </c>
      <c r="D76" s="261">
        <v>11912.349981279998</v>
      </c>
      <c r="E76" s="261">
        <v>1710.9269000000004</v>
      </c>
      <c r="F76" s="261">
        <v>1710.7969000000003</v>
      </c>
      <c r="G76" s="261">
        <v>1710.9269000000004</v>
      </c>
      <c r="H76" s="273">
        <v>2041.6285402800011</v>
      </c>
      <c r="I76" s="273">
        <v>7292.2986638199909</v>
      </c>
      <c r="J76" s="273">
        <v>5476.5226600000005</v>
      </c>
      <c r="K76" s="273">
        <v>11041.26132</v>
      </c>
      <c r="L76" s="273">
        <v>6105.6643199999999</v>
      </c>
      <c r="M76" s="273">
        <v>11560.968150000001</v>
      </c>
      <c r="N76" s="273">
        <v>7355.3183900000013</v>
      </c>
      <c r="O76" s="273">
        <v>37077.34985999998</v>
      </c>
      <c r="P76" s="273">
        <v>12367.330439999958</v>
      </c>
      <c r="Q76" s="273">
        <v>10093.789629999992</v>
      </c>
    </row>
    <row r="77" spans="1:17">
      <c r="A77" s="28"/>
      <c r="B77" s="10"/>
      <c r="C77" s="11" t="s">
        <v>87</v>
      </c>
      <c r="D77" s="261">
        <v>32097.579676828009</v>
      </c>
      <c r="E77" s="261">
        <v>30854.600417504935</v>
      </c>
      <c r="F77" s="293">
        <v>30938.470417504934</v>
      </c>
      <c r="G77" s="293">
        <v>30829.451850924936</v>
      </c>
      <c r="H77" s="273">
        <v>63200.036700101453</v>
      </c>
      <c r="I77" s="273">
        <v>84940.457316804488</v>
      </c>
      <c r="J77" s="273">
        <v>59604.063600000009</v>
      </c>
      <c r="K77" s="273">
        <v>66139.738079999996</v>
      </c>
      <c r="L77" s="273">
        <v>58160.728439999999</v>
      </c>
      <c r="M77" s="273">
        <v>57302.272960392227</v>
      </c>
      <c r="N77" s="273">
        <v>52553.910330000006</v>
      </c>
      <c r="O77" s="273">
        <v>89957.311930879659</v>
      </c>
      <c r="P77" s="273">
        <v>122515.75195999999</v>
      </c>
      <c r="Q77" s="273">
        <v>125461.26101999995</v>
      </c>
    </row>
    <row r="78" spans="1:17">
      <c r="A78" s="28"/>
      <c r="B78" s="10"/>
      <c r="C78" s="11" t="s">
        <v>88</v>
      </c>
      <c r="D78" s="261">
        <v>154649.88018309994</v>
      </c>
      <c r="E78" s="261">
        <v>205606.40967831406</v>
      </c>
      <c r="F78" s="261">
        <v>205606.27967831405</v>
      </c>
      <c r="G78" s="261">
        <v>205606.40967831406</v>
      </c>
      <c r="H78" s="273">
        <v>209691.71474355875</v>
      </c>
      <c r="I78" s="273">
        <v>174490.74975928027</v>
      </c>
      <c r="J78" s="273">
        <v>168964.95288999987</v>
      </c>
      <c r="K78" s="273">
        <v>235647.7812</v>
      </c>
      <c r="L78" s="273">
        <v>289903.26722403773</v>
      </c>
      <c r="M78" s="273">
        <v>222742.51416000005</v>
      </c>
      <c r="N78" s="273">
        <v>132855.57900999999</v>
      </c>
      <c r="O78" s="273">
        <v>170057.0912</v>
      </c>
      <c r="P78" s="273">
        <v>254807.53499999997</v>
      </c>
      <c r="Q78" s="273">
        <v>168455.80814000012</v>
      </c>
    </row>
    <row r="79" spans="1:17">
      <c r="A79" s="28"/>
      <c r="B79" s="10"/>
      <c r="C79" s="11" t="s">
        <v>89</v>
      </c>
      <c r="D79" s="261">
        <v>361052.63173674635</v>
      </c>
      <c r="E79" s="261">
        <v>470746.54377779516</v>
      </c>
      <c r="F79" s="293">
        <v>476244.53929890972</v>
      </c>
      <c r="G79" s="293">
        <v>480437.44694830454</v>
      </c>
      <c r="H79" s="273">
        <v>719764.69677348027</v>
      </c>
      <c r="I79" s="273">
        <v>806974.14265551954</v>
      </c>
      <c r="J79" s="273">
        <v>874473.88043999998</v>
      </c>
      <c r="K79" s="273">
        <v>1094113.6023200001</v>
      </c>
      <c r="L79" s="273">
        <v>1057260.5078960685</v>
      </c>
      <c r="M79" s="273">
        <v>1064079.3159428739</v>
      </c>
      <c r="N79" s="273">
        <v>1100013.8474400002</v>
      </c>
      <c r="O79" s="273">
        <v>1189385.3698396888</v>
      </c>
      <c r="P79" s="273">
        <v>1725368.1233599999</v>
      </c>
      <c r="Q79" s="273">
        <v>1820733.98318</v>
      </c>
    </row>
    <row r="80" spans="1:17">
      <c r="A80" s="28"/>
      <c r="B80" s="10"/>
      <c r="C80" s="11" t="s">
        <v>90</v>
      </c>
      <c r="D80" s="261">
        <v>159843.59799251851</v>
      </c>
      <c r="E80" s="261">
        <v>325814.9862573453</v>
      </c>
      <c r="F80" s="261">
        <v>328217.64528971713</v>
      </c>
      <c r="G80" s="261">
        <v>326628.57545366773</v>
      </c>
      <c r="H80" s="273">
        <v>453030.63982626103</v>
      </c>
      <c r="I80" s="273">
        <v>1252212.2118417469</v>
      </c>
      <c r="J80" s="273">
        <v>643940.57408999989</v>
      </c>
      <c r="K80" s="273">
        <v>730714.75988000003</v>
      </c>
      <c r="L80" s="273">
        <v>659933.44786419091</v>
      </c>
      <c r="M80" s="273">
        <v>556464.35803868505</v>
      </c>
      <c r="N80" s="273">
        <v>599991.43866999983</v>
      </c>
      <c r="O80" s="273">
        <v>680912.64205881208</v>
      </c>
      <c r="P80" s="273">
        <v>5210766.067309997</v>
      </c>
      <c r="Q80" s="273">
        <v>5186457.5087100025</v>
      </c>
    </row>
    <row r="81" spans="1:17">
      <c r="A81" s="28"/>
      <c r="B81" s="10"/>
      <c r="C81" s="11" t="s">
        <v>91</v>
      </c>
      <c r="D81" s="261">
        <v>3133258.3951566187</v>
      </c>
      <c r="E81" s="261">
        <v>4071057.9495637473</v>
      </c>
      <c r="F81" s="293">
        <v>4175210.4736309936</v>
      </c>
      <c r="G81" s="293">
        <v>4196428.9971934194</v>
      </c>
      <c r="H81" s="273">
        <v>4604825.269766435</v>
      </c>
      <c r="I81" s="273">
        <v>3814582.3811610481</v>
      </c>
      <c r="J81" s="273">
        <v>6294778.0724600004</v>
      </c>
      <c r="K81" s="273">
        <v>6369348.5504000001</v>
      </c>
      <c r="L81" s="273">
        <v>6684996.8813699996</v>
      </c>
      <c r="M81" s="273">
        <v>7962360.8454102352</v>
      </c>
      <c r="N81" s="273">
        <v>7628351.8323099995</v>
      </c>
      <c r="O81" s="273">
        <v>9664190.1301938966</v>
      </c>
      <c r="P81" s="273">
        <v>11155414.442329999</v>
      </c>
      <c r="Q81" s="273">
        <v>11919142.05153</v>
      </c>
    </row>
    <row r="82" spans="1:17">
      <c r="A82" s="28"/>
      <c r="B82" s="10"/>
      <c r="C82" s="11" t="s">
        <v>99</v>
      </c>
      <c r="D82" s="261">
        <v>1014942.0116103066</v>
      </c>
      <c r="E82" s="261">
        <v>2568537.5247801589</v>
      </c>
      <c r="F82" s="261">
        <v>2576555.1831118101</v>
      </c>
      <c r="G82" s="261">
        <v>2575636.5247801617</v>
      </c>
      <c r="H82" s="273">
        <v>4247179.700143137</v>
      </c>
      <c r="I82" s="273">
        <v>4124936.3350991369</v>
      </c>
      <c r="J82" s="273">
        <v>5540135.95982478</v>
      </c>
      <c r="K82" s="273">
        <v>7254322.6020600004</v>
      </c>
      <c r="L82" s="273">
        <v>12543613.060806345</v>
      </c>
      <c r="M82" s="273">
        <v>15056590.623377336</v>
      </c>
      <c r="N82" s="273">
        <v>14224972.305205157</v>
      </c>
      <c r="O82" s="273">
        <v>13522522.22636028</v>
      </c>
      <c r="P82" s="273">
        <v>22901799.773309998</v>
      </c>
      <c r="Q82" s="273">
        <v>23303000.384919997</v>
      </c>
    </row>
    <row r="83" spans="1:17">
      <c r="A83" s="28"/>
      <c r="B83" s="10"/>
      <c r="C83" s="11" t="s">
        <v>183</v>
      </c>
      <c r="D83" s="261"/>
      <c r="E83" s="261"/>
      <c r="F83" s="261"/>
      <c r="G83" s="261">
        <v>1994044.7264575099</v>
      </c>
      <c r="H83" s="273">
        <v>3626666.4649881972</v>
      </c>
      <c r="I83" s="273">
        <v>3315621.0489048669</v>
      </c>
      <c r="J83" s="273">
        <v>4687551.9242194304</v>
      </c>
      <c r="K83" s="273">
        <v>6317713.6853400003</v>
      </c>
      <c r="L83" s="273">
        <v>11719507.701096345</v>
      </c>
      <c r="M83" s="273">
        <v>14058944.636526575</v>
      </c>
      <c r="N83" s="273">
        <v>13233411.380404446</v>
      </c>
      <c r="O83" s="273">
        <v>12885156.004583828</v>
      </c>
      <c r="P83" s="273">
        <v>22012858.85486</v>
      </c>
      <c r="Q83" s="273">
        <v>22517953.872809999</v>
      </c>
    </row>
    <row r="84" spans="1:17">
      <c r="A84" s="28"/>
      <c r="B84" s="10"/>
      <c r="C84" s="11" t="s">
        <v>184</v>
      </c>
      <c r="D84" s="261"/>
      <c r="E84" s="261"/>
      <c r="F84" s="261"/>
      <c r="G84" s="261">
        <v>581591.798322652</v>
      </c>
      <c r="H84" s="273">
        <v>620513.23515493947</v>
      </c>
      <c r="I84" s="273">
        <v>809315.28619427001</v>
      </c>
      <c r="J84" s="273">
        <v>852584.03560535004</v>
      </c>
      <c r="K84" s="273">
        <v>936608.9167200001</v>
      </c>
      <c r="L84" s="273">
        <v>824105.35971000034</v>
      </c>
      <c r="M84" s="273">
        <v>997645.98685076146</v>
      </c>
      <c r="N84" s="273">
        <v>991560.92480071168</v>
      </c>
      <c r="O84" s="273">
        <v>637366.22177645401</v>
      </c>
      <c r="P84" s="273">
        <v>888940.91845</v>
      </c>
      <c r="Q84" s="273">
        <v>785046.51210999966</v>
      </c>
    </row>
    <row r="85" spans="1:17">
      <c r="A85" s="28"/>
      <c r="B85" s="10"/>
      <c r="C85" s="11" t="s">
        <v>93</v>
      </c>
      <c r="D85" s="262">
        <v>1483877.7487448191</v>
      </c>
      <c r="E85" s="262">
        <v>1600694.9109219001</v>
      </c>
      <c r="F85" s="262">
        <v>1600694.9109219001</v>
      </c>
      <c r="G85" s="262">
        <v>1896075.1214657803</v>
      </c>
      <c r="H85" s="273">
        <v>2362257.914043061</v>
      </c>
      <c r="I85" s="273">
        <v>2370553.7752848435</v>
      </c>
      <c r="J85" s="273">
        <v>2810226.3157295403</v>
      </c>
      <c r="K85" s="273">
        <v>4323028.24713</v>
      </c>
      <c r="L85" s="273">
        <v>4670530.6912802011</v>
      </c>
      <c r="M85" s="273">
        <v>2521145.1579776057</v>
      </c>
      <c r="N85" s="273">
        <v>3444887.8659590883</v>
      </c>
      <c r="O85" s="273">
        <v>3877824.9319935273</v>
      </c>
      <c r="P85" s="273">
        <v>3348612.8765500002</v>
      </c>
      <c r="Q85" s="273">
        <v>3143723.1068500001</v>
      </c>
    </row>
    <row r="86" spans="1:17">
      <c r="A86" s="28"/>
      <c r="B86" s="10"/>
      <c r="C86" s="11"/>
      <c r="D86" s="29"/>
      <c r="E86" s="29"/>
      <c r="F86" s="29"/>
      <c r="G86" s="29"/>
      <c r="H86" s="273"/>
      <c r="I86" s="273"/>
      <c r="J86" s="273"/>
      <c r="K86" s="273"/>
      <c r="L86" s="273"/>
      <c r="M86" s="273"/>
      <c r="N86" s="273"/>
      <c r="O86" s="273"/>
      <c r="P86" s="273"/>
      <c r="Q86" s="273"/>
    </row>
    <row r="87" spans="1:17" ht="15.75" customHeight="1">
      <c r="A87" s="28"/>
      <c r="B87" s="330" t="s">
        <v>94</v>
      </c>
      <c r="C87" s="330"/>
      <c r="D87" s="273">
        <v>54.803539647170297</v>
      </c>
      <c r="E87" s="273">
        <v>58.850540064760999</v>
      </c>
      <c r="F87" s="273">
        <v>61.635873086124398</v>
      </c>
      <c r="G87" s="273">
        <v>50.37</v>
      </c>
      <c r="H87" s="273">
        <v>60.209985524133003</v>
      </c>
      <c r="I87" s="273">
        <v>53.030937533493429</v>
      </c>
      <c r="J87" s="273">
        <v>57.254207956442471</v>
      </c>
      <c r="K87" s="273">
        <v>57.646341220357534</v>
      </c>
      <c r="L87" s="273">
        <v>57.65486370673446</v>
      </c>
      <c r="M87" s="273">
        <v>53.52231355646915</v>
      </c>
      <c r="N87" s="273">
        <v>56.68338139367075</v>
      </c>
      <c r="O87" s="273">
        <v>55.719574948140824</v>
      </c>
      <c r="P87" s="273">
        <v>59.566107404773064</v>
      </c>
      <c r="Q87" s="273">
        <v>57.848397188206704</v>
      </c>
    </row>
    <row r="88" spans="1:17">
      <c r="A88" s="28"/>
      <c r="B88" s="10"/>
      <c r="C88" s="10"/>
      <c r="D88" s="29"/>
      <c r="E88" s="309"/>
      <c r="F88" s="309"/>
      <c r="G88" s="309"/>
      <c r="H88" s="309"/>
      <c r="I88" s="312">
        <v>0.53030937533493427</v>
      </c>
      <c r="J88" s="312">
        <v>0.57254207956442471</v>
      </c>
      <c r="K88" s="312">
        <v>0.57646341220357533</v>
      </c>
      <c r="L88" s="312">
        <v>0.5765486370673446</v>
      </c>
      <c r="M88" s="312">
        <v>0.53522313556469148</v>
      </c>
      <c r="N88" s="312">
        <v>0.56683381393670751</v>
      </c>
      <c r="O88" s="312">
        <v>0.55719574948140826</v>
      </c>
      <c r="P88" s="312">
        <v>0.59566107404773061</v>
      </c>
      <c r="Q88" s="312">
        <v>0.57848397188206702</v>
      </c>
    </row>
    <row r="89" spans="1:17" ht="15.75" customHeight="1">
      <c r="A89" s="28"/>
      <c r="B89" s="330" t="s">
        <v>95</v>
      </c>
      <c r="C89" s="330"/>
      <c r="D89" s="29"/>
      <c r="E89" s="29"/>
      <c r="F89" s="29"/>
      <c r="G89" s="29"/>
      <c r="H89" s="273"/>
      <c r="J89" s="273"/>
      <c r="K89" s="273"/>
      <c r="L89" s="273"/>
      <c r="M89" s="273"/>
      <c r="N89" s="273"/>
      <c r="O89" s="273"/>
      <c r="P89" s="273"/>
      <c r="Q89" s="273"/>
    </row>
    <row r="90" spans="1:17">
      <c r="A90" s="28"/>
      <c r="B90" s="10"/>
      <c r="C90" s="11" t="s">
        <v>77</v>
      </c>
      <c r="D90" s="260">
        <v>38.187196805965435</v>
      </c>
      <c r="E90" s="260">
        <v>56.358552163691755</v>
      </c>
      <c r="F90" s="260">
        <v>56.99866909118866</v>
      </c>
      <c r="G90" s="260">
        <v>57.35</v>
      </c>
      <c r="H90" s="273">
        <v>58.252623848488881</v>
      </c>
      <c r="I90" s="273">
        <v>62.813411034116882</v>
      </c>
      <c r="J90" s="273">
        <v>56.82165038407684</v>
      </c>
      <c r="K90" s="271">
        <v>58.01908581574736</v>
      </c>
      <c r="L90" s="271">
        <v>59.691990425116039</v>
      </c>
      <c r="M90" s="271">
        <v>64.716667149383994</v>
      </c>
      <c r="N90" s="271">
        <v>60.743718324139593</v>
      </c>
      <c r="O90" s="271">
        <v>63.578519771483322</v>
      </c>
      <c r="P90" s="271">
        <v>61.657652268765439</v>
      </c>
      <c r="Q90" s="271">
        <v>63.162001755593245</v>
      </c>
    </row>
    <row r="91" spans="1:17">
      <c r="A91" s="28"/>
      <c r="B91" s="10"/>
      <c r="C91" s="11" t="s">
        <v>79</v>
      </c>
      <c r="D91" s="260">
        <v>35.497808236944465</v>
      </c>
      <c r="E91" s="260">
        <v>47.294153448836099</v>
      </c>
      <c r="F91" s="295">
        <v>58.389379951802646</v>
      </c>
      <c r="G91" s="295">
        <v>53.41</v>
      </c>
      <c r="H91" s="273">
        <v>45.046174933670684</v>
      </c>
      <c r="I91" s="273">
        <v>45.541923990537427</v>
      </c>
      <c r="J91" s="273">
        <v>42.070455119442805</v>
      </c>
      <c r="K91" s="271">
        <v>42.047849231885252</v>
      </c>
      <c r="L91" s="271">
        <v>40.771337528434145</v>
      </c>
      <c r="M91" s="271">
        <v>45.489790083178342</v>
      </c>
      <c r="N91" s="271">
        <v>43.745917843651782</v>
      </c>
      <c r="O91" s="271">
        <v>48.622441595282638</v>
      </c>
      <c r="P91" s="271">
        <v>43.001222899460956</v>
      </c>
      <c r="Q91" s="271">
        <v>39.176503800796844</v>
      </c>
    </row>
    <row r="92" spans="1:17">
      <c r="A92" s="28"/>
      <c r="B92" s="10"/>
      <c r="C92" s="11" t="s">
        <v>81</v>
      </c>
      <c r="D92" s="260">
        <v>46.47294505934186</v>
      </c>
      <c r="E92" s="260">
        <v>62.137108665988464</v>
      </c>
      <c r="F92" s="260">
        <v>59.618304375858713</v>
      </c>
      <c r="G92" s="260">
        <v>59.05</v>
      </c>
      <c r="H92" s="273">
        <v>60.825859972384954</v>
      </c>
      <c r="I92" s="273">
        <v>65.772967296356484</v>
      </c>
      <c r="J92" s="273">
        <v>57.147307306949543</v>
      </c>
      <c r="K92" s="271">
        <v>58.149849483164026</v>
      </c>
      <c r="L92" s="271">
        <v>59.852215628791186</v>
      </c>
      <c r="M92" s="271">
        <v>62.035305282291688</v>
      </c>
      <c r="N92" s="271">
        <v>49.121611887181125</v>
      </c>
      <c r="O92" s="271">
        <v>45.018559019041291</v>
      </c>
      <c r="P92" s="271">
        <v>44.841451990124611</v>
      </c>
      <c r="Q92" s="271">
        <v>48.94617813135968</v>
      </c>
    </row>
    <row r="93" spans="1:17">
      <c r="A93" s="28"/>
      <c r="B93" s="10"/>
      <c r="C93" s="11" t="s">
        <v>83</v>
      </c>
      <c r="D93" s="260">
        <v>31.219899862968298</v>
      </c>
      <c r="E93" s="260">
        <v>33.981201438344129</v>
      </c>
      <c r="F93" s="295">
        <v>39.01488186964005</v>
      </c>
      <c r="G93" s="295">
        <v>42.45</v>
      </c>
      <c r="H93" s="273">
        <v>37.632030467046512</v>
      </c>
      <c r="I93" s="273">
        <v>32.860576154923159</v>
      </c>
      <c r="J93" s="273">
        <v>38.270341304746367</v>
      </c>
      <c r="K93" s="271">
        <v>34.758734474448893</v>
      </c>
      <c r="L93" s="271">
        <v>32.15330387704816</v>
      </c>
      <c r="M93" s="271">
        <v>39.929102733714153</v>
      </c>
      <c r="N93" s="271">
        <v>36.609626075142643</v>
      </c>
      <c r="O93" s="271">
        <v>35.306803366782276</v>
      </c>
      <c r="P93" s="271">
        <v>38.918477334062253</v>
      </c>
      <c r="Q93" s="271">
        <v>39.848507196025409</v>
      </c>
    </row>
    <row r="94" spans="1:17">
      <c r="A94" s="28"/>
      <c r="B94" s="10"/>
      <c r="C94" s="11" t="s">
        <v>84</v>
      </c>
      <c r="D94" s="260">
        <v>31.152632754810917</v>
      </c>
      <c r="E94" s="260">
        <v>56.230622826186874</v>
      </c>
      <c r="F94" s="260">
        <v>63.598373092620278</v>
      </c>
      <c r="G94" s="260">
        <v>67.98</v>
      </c>
      <c r="H94" s="273">
        <v>76.404929805154183</v>
      </c>
      <c r="I94" s="273">
        <v>77.773570483401159</v>
      </c>
      <c r="J94" s="273">
        <v>85.318264740763553</v>
      </c>
      <c r="K94" s="271">
        <v>88.956772467624177</v>
      </c>
      <c r="L94" s="271">
        <v>74.817933882198844</v>
      </c>
      <c r="M94" s="271">
        <v>76.051182189610046</v>
      </c>
      <c r="N94" s="271">
        <v>49.484599940022648</v>
      </c>
      <c r="O94" s="271">
        <v>53.796423491536018</v>
      </c>
      <c r="P94" s="271">
        <v>68.972072423556568</v>
      </c>
      <c r="Q94" s="271">
        <v>78.659733169469433</v>
      </c>
    </row>
    <row r="95" spans="1:17">
      <c r="A95" s="28"/>
      <c r="B95" s="10"/>
      <c r="C95" s="11" t="s">
        <v>85</v>
      </c>
      <c r="D95" s="260">
        <v>21.996330806514123</v>
      </c>
      <c r="E95" s="260">
        <v>55.163921106840007</v>
      </c>
      <c r="F95" s="295">
        <v>62.346350530345084</v>
      </c>
      <c r="G95" s="295">
        <v>20.46</v>
      </c>
      <c r="H95" s="271">
        <v>22.84322039427116</v>
      </c>
      <c r="I95" s="271">
        <v>30.043158839503249</v>
      </c>
      <c r="J95" s="271">
        <v>30.893016123131467</v>
      </c>
      <c r="K95" s="271">
        <v>65.347183815453832</v>
      </c>
      <c r="L95" s="271">
        <v>23.787666435639355</v>
      </c>
      <c r="M95" s="271">
        <v>43.937723462347108</v>
      </c>
      <c r="N95" s="271">
        <v>90.411665263043162</v>
      </c>
      <c r="O95" s="271">
        <v>86.541431598912823</v>
      </c>
      <c r="P95" s="271">
        <v>47.67877261881209</v>
      </c>
      <c r="Q95" s="271">
        <v>22.885358155453982</v>
      </c>
    </row>
    <row r="96" spans="1:17">
      <c r="A96" s="28"/>
      <c r="B96" s="10"/>
      <c r="C96" s="11" t="s">
        <v>86</v>
      </c>
      <c r="D96" s="260">
        <v>54.063439138232049</v>
      </c>
      <c r="E96" s="260">
        <v>236.77960103590129</v>
      </c>
      <c r="F96" s="260">
        <v>1.9027974623989554</v>
      </c>
      <c r="G96" s="260">
        <v>0</v>
      </c>
      <c r="H96" s="271">
        <v>0</v>
      </c>
      <c r="I96" s="271">
        <v>0</v>
      </c>
      <c r="J96" s="271">
        <v>38.388891282337909</v>
      </c>
      <c r="K96" s="271">
        <v>0.39164972865618025</v>
      </c>
      <c r="L96" s="271">
        <v>0</v>
      </c>
      <c r="M96" s="271">
        <v>66.927965111641612</v>
      </c>
      <c r="N96" s="271">
        <v>0</v>
      </c>
      <c r="O96" s="271">
        <v>4.0612265323323928</v>
      </c>
      <c r="P96" s="271">
        <v>1.4240082842001167</v>
      </c>
      <c r="Q96" s="271">
        <v>4.7350135828024023</v>
      </c>
    </row>
    <row r="97" spans="1:17">
      <c r="A97" s="28"/>
      <c r="B97" s="10"/>
      <c r="C97" s="11" t="s">
        <v>87</v>
      </c>
      <c r="D97" s="260">
        <v>44.208690861981268</v>
      </c>
      <c r="E97" s="260">
        <v>-2.7576639566778827</v>
      </c>
      <c r="F97" s="295">
        <v>74.688416042706919</v>
      </c>
      <c r="G97" s="295">
        <v>24.07</v>
      </c>
      <c r="H97" s="271">
        <v>6.633321498310929</v>
      </c>
      <c r="I97" s="271">
        <v>41.468416751495511</v>
      </c>
      <c r="J97" s="271">
        <v>45.489821402042786</v>
      </c>
      <c r="K97" s="271">
        <v>75.651187096445781</v>
      </c>
      <c r="L97" s="271">
        <v>90.182917282595156</v>
      </c>
      <c r="M97" s="271">
        <v>53.200114506926063</v>
      </c>
      <c r="N97" s="271">
        <v>101.90890071490517</v>
      </c>
      <c r="O97" s="271">
        <v>37.327626558918283</v>
      </c>
      <c r="P97" s="271">
        <v>25.78373189131916</v>
      </c>
      <c r="Q97" s="271">
        <v>41.068627782870998</v>
      </c>
    </row>
    <row r="98" spans="1:17">
      <c r="A98" s="28"/>
      <c r="B98" s="10"/>
      <c r="C98" s="11" t="s">
        <v>88</v>
      </c>
      <c r="D98" s="260">
        <v>13.967788739861339</v>
      </c>
      <c r="E98" s="260">
        <v>10.465639205757057</v>
      </c>
      <c r="F98" s="260">
        <v>21.784802432663739</v>
      </c>
      <c r="G98" s="260">
        <v>32.299999999999997</v>
      </c>
      <c r="H98" s="271">
        <v>13.574581103669894</v>
      </c>
      <c r="I98" s="271">
        <v>51.893691923903063</v>
      </c>
      <c r="J98" s="271">
        <v>14.735569545128804</v>
      </c>
      <c r="K98" s="271">
        <v>-6.4145573206870782E-2</v>
      </c>
      <c r="L98" s="271">
        <v>24.808618277633734</v>
      </c>
      <c r="M98" s="271">
        <v>25.854763378773882</v>
      </c>
      <c r="N98" s="271">
        <v>37.262004771567632</v>
      </c>
      <c r="O98" s="271">
        <v>253.91735679058826</v>
      </c>
      <c r="P98" s="271">
        <v>242.9415190174812</v>
      </c>
      <c r="Q98" s="271">
        <v>66.12839217595878</v>
      </c>
    </row>
    <row r="99" spans="1:17">
      <c r="A99" s="28"/>
      <c r="B99" s="10"/>
      <c r="C99" s="11" t="s">
        <v>97</v>
      </c>
      <c r="D99" s="260">
        <v>34.458443043840944</v>
      </c>
      <c r="E99" s="260">
        <v>60.743995415879922</v>
      </c>
      <c r="F99" s="295">
        <v>74.141240959096962</v>
      </c>
      <c r="G99" s="295">
        <v>69.94</v>
      </c>
      <c r="H99" s="271">
        <v>55.38780768654734</v>
      </c>
      <c r="I99" s="271">
        <v>72.536875991351252</v>
      </c>
      <c r="J99" s="271">
        <v>67.846813439581979</v>
      </c>
      <c r="K99" s="271">
        <v>58.628243337787303</v>
      </c>
      <c r="L99" s="271">
        <v>67.040500322903966</v>
      </c>
      <c r="M99" s="271">
        <v>69.653552785432652</v>
      </c>
      <c r="N99" s="271">
        <v>69.308472672802878</v>
      </c>
      <c r="O99" s="271">
        <v>59.651107212107604</v>
      </c>
      <c r="P99" s="271">
        <v>62.439792885591451</v>
      </c>
      <c r="Q99" s="271">
        <v>53.905671369180453</v>
      </c>
    </row>
    <row r="100" spans="1:17">
      <c r="A100" s="28"/>
      <c r="B100" s="10"/>
      <c r="C100" s="11" t="s">
        <v>90</v>
      </c>
      <c r="D100" s="260">
        <v>9.3848257403027553</v>
      </c>
      <c r="E100" s="260">
        <v>17.755394769992659</v>
      </c>
      <c r="F100" s="260">
        <v>16.299141574920089</v>
      </c>
      <c r="G100" s="260">
        <v>15.75</v>
      </c>
      <c r="H100" s="271">
        <v>12.737196064419996</v>
      </c>
      <c r="I100" s="271">
        <v>47.013908050231485</v>
      </c>
      <c r="J100" s="271">
        <v>22.3206944449988</v>
      </c>
      <c r="K100" s="271">
        <v>20.653705922785033</v>
      </c>
      <c r="L100" s="271">
        <v>21.055050430001202</v>
      </c>
      <c r="M100" s="271">
        <v>23.777869164228036</v>
      </c>
      <c r="N100" s="271">
        <v>14.025284040141688</v>
      </c>
      <c r="O100" s="271">
        <v>14.680860219946673</v>
      </c>
      <c r="P100" s="271">
        <v>63.322031812365829</v>
      </c>
      <c r="Q100" s="271">
        <v>63.310223278329744</v>
      </c>
    </row>
    <row r="101" spans="1:17">
      <c r="A101" s="28"/>
      <c r="B101" s="10"/>
      <c r="C101" s="11" t="s">
        <v>98</v>
      </c>
      <c r="D101" s="260">
        <v>50.481210361188708</v>
      </c>
      <c r="E101" s="260">
        <v>60.426819542015366</v>
      </c>
      <c r="F101" s="295">
        <v>71.876817675059371</v>
      </c>
      <c r="G101" s="295">
        <v>69.739999999999995</v>
      </c>
      <c r="H101" s="271">
        <v>76.709376487404086</v>
      </c>
      <c r="I101" s="271">
        <v>98.725383885924046</v>
      </c>
      <c r="J101" s="271">
        <v>76.98171750884697</v>
      </c>
      <c r="K101" s="271">
        <v>78.872212841209816</v>
      </c>
      <c r="L101" s="271">
        <v>85.718336560923845</v>
      </c>
      <c r="M101" s="271">
        <v>68.787276577070429</v>
      </c>
      <c r="N101" s="271">
        <v>84.375829210684415</v>
      </c>
      <c r="O101" s="271">
        <v>80.603712937835411</v>
      </c>
      <c r="P101" s="271">
        <v>74.623686515238688</v>
      </c>
      <c r="Q101" s="271">
        <v>72.460147454584259</v>
      </c>
    </row>
    <row r="102" spans="1:17">
      <c r="A102" s="28"/>
      <c r="B102" s="10"/>
      <c r="C102" s="11" t="s">
        <v>99</v>
      </c>
      <c r="D102" s="260">
        <v>65.958271777213895</v>
      </c>
      <c r="E102" s="260">
        <v>55.747702301638682</v>
      </c>
      <c r="F102" s="260">
        <v>34.031880347982266</v>
      </c>
      <c r="G102" s="260">
        <v>49.48</v>
      </c>
      <c r="H102" s="271">
        <v>58.446936730752839</v>
      </c>
      <c r="I102" s="271">
        <v>60.268821052452445</v>
      </c>
      <c r="J102" s="271">
        <v>55.981591941369267</v>
      </c>
      <c r="K102" s="271">
        <v>60.651836366093946</v>
      </c>
      <c r="L102" s="271">
        <v>60.622005077398136</v>
      </c>
      <c r="M102" s="271">
        <v>74.661437531890527</v>
      </c>
      <c r="N102" s="271">
        <v>68.740617454094163</v>
      </c>
      <c r="O102" s="271">
        <v>81.462814011304999</v>
      </c>
      <c r="P102" s="271">
        <v>73.311713547015174</v>
      </c>
      <c r="Q102" s="271">
        <v>83.52546572151131</v>
      </c>
    </row>
    <row r="103" spans="1:17">
      <c r="A103" s="31"/>
      <c r="B103" s="10"/>
      <c r="C103" s="11" t="s">
        <v>100</v>
      </c>
      <c r="D103" s="260">
        <v>51.514460165198258</v>
      </c>
      <c r="E103" s="260">
        <v>26.361476002132473</v>
      </c>
      <c r="F103" s="295">
        <v>59.802340367134789</v>
      </c>
      <c r="G103" s="295">
        <v>59.26</v>
      </c>
      <c r="H103" s="271">
        <v>60.698779104149892</v>
      </c>
      <c r="I103" s="271">
        <v>66.589378998258809</v>
      </c>
      <c r="J103" s="271">
        <v>63.001504875447125</v>
      </c>
      <c r="K103" s="271">
        <v>65.577718698200798</v>
      </c>
      <c r="L103" s="271">
        <v>62.909574194242758</v>
      </c>
      <c r="M103" s="271">
        <v>77.665951508289524</v>
      </c>
      <c r="N103" s="271">
        <v>70.930527137925054</v>
      </c>
      <c r="O103" s="271">
        <v>84.314280213795996</v>
      </c>
      <c r="P103" s="271">
        <v>74.711030871163018</v>
      </c>
      <c r="Q103" s="271">
        <v>83.750668827827241</v>
      </c>
    </row>
    <row r="104" spans="1:17">
      <c r="A104" s="31"/>
      <c r="B104" s="10"/>
      <c r="C104" s="11" t="s">
        <v>101</v>
      </c>
      <c r="D104" s="260">
        <v>14.443811612015633</v>
      </c>
      <c r="E104" s="260">
        <v>39.596641260398961</v>
      </c>
      <c r="F104" s="260">
        <v>24.077903604368174</v>
      </c>
      <c r="G104" s="260">
        <v>15.95</v>
      </c>
      <c r="H104" s="271">
        <v>45.285765046801032</v>
      </c>
      <c r="I104" s="271">
        <v>34.487667993375844</v>
      </c>
      <c r="J104" s="271">
        <v>17.385740966250374</v>
      </c>
      <c r="K104" s="271">
        <v>27.425253032989289</v>
      </c>
      <c r="L104" s="271">
        <v>28.090747313118197</v>
      </c>
      <c r="M104" s="271">
        <v>32.321473044885977</v>
      </c>
      <c r="N104" s="271">
        <v>39.513996066316018</v>
      </c>
      <c r="O104" s="271">
        <v>23.816855368423738</v>
      </c>
      <c r="P104" s="271">
        <v>38.660395208180546</v>
      </c>
      <c r="Q104" s="271">
        <v>77.06583169752723</v>
      </c>
    </row>
    <row r="105" spans="1:17" ht="16" thickBot="1">
      <c r="A105" s="32"/>
      <c r="B105" s="18"/>
      <c r="C105" s="19" t="s">
        <v>93</v>
      </c>
      <c r="D105" s="298">
        <v>38.187196805965435</v>
      </c>
      <c r="E105" s="298">
        <v>54.172925092790059</v>
      </c>
      <c r="F105" s="298">
        <v>63.32476650853225</v>
      </c>
      <c r="G105" s="298">
        <v>69.94</v>
      </c>
      <c r="H105" s="298">
        <v>63.353033243508882</v>
      </c>
      <c r="I105" s="298">
        <v>72.994012396080933</v>
      </c>
      <c r="J105" s="298">
        <v>62.084612776172719</v>
      </c>
      <c r="K105" s="298">
        <v>66.336816628803362</v>
      </c>
      <c r="L105" s="298">
        <v>70.879807669877792</v>
      </c>
      <c r="M105" s="298">
        <v>90.545153626187087</v>
      </c>
      <c r="N105" s="298">
        <v>83.574043712817669</v>
      </c>
      <c r="O105" s="298">
        <v>88.524130587123423</v>
      </c>
      <c r="P105" s="298">
        <v>73.865748446215377</v>
      </c>
      <c r="Q105" s="271">
        <v>52.744617849994292</v>
      </c>
    </row>
    <row r="106" spans="1:17">
      <c r="A106" s="33"/>
      <c r="B106" s="34"/>
      <c r="C106" s="35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</row>
    <row r="107" spans="1:17">
      <c r="D107" s="37"/>
    </row>
    <row r="108" spans="1:17" ht="16.5" customHeight="1">
      <c r="A108" s="328" t="s">
        <v>62</v>
      </c>
      <c r="B108" s="328"/>
      <c r="C108" s="328"/>
      <c r="D108" s="328"/>
      <c r="E108" s="328"/>
      <c r="F108" s="328"/>
      <c r="G108" s="328"/>
    </row>
    <row r="109" spans="1:17" ht="16" thickBot="1">
      <c r="A109" s="24"/>
      <c r="B109" s="24"/>
      <c r="C109" s="25">
        <v>-1</v>
      </c>
      <c r="D109" s="25">
        <v>-2</v>
      </c>
      <c r="E109" s="25">
        <v>-2</v>
      </c>
      <c r="F109" s="8">
        <v>-2</v>
      </c>
      <c r="G109" s="8" t="s">
        <v>176</v>
      </c>
      <c r="H109" s="286" t="s">
        <v>175</v>
      </c>
      <c r="I109" s="286" t="s">
        <v>192</v>
      </c>
      <c r="J109" s="286" t="s">
        <v>193</v>
      </c>
      <c r="K109" s="286" t="s">
        <v>193</v>
      </c>
      <c r="L109" s="286" t="s">
        <v>193</v>
      </c>
      <c r="M109" s="286" t="s">
        <v>193</v>
      </c>
      <c r="N109" s="286" t="s">
        <v>193</v>
      </c>
      <c r="O109" s="286" t="s">
        <v>193</v>
      </c>
      <c r="P109" s="286" t="s">
        <v>193</v>
      </c>
      <c r="Q109" s="286" t="s">
        <v>193</v>
      </c>
    </row>
    <row r="110" spans="1:17" ht="16" thickTop="1">
      <c r="A110" s="38"/>
      <c r="B110" s="38"/>
      <c r="C110" s="39" t="s">
        <v>171</v>
      </c>
      <c r="D110" s="40"/>
    </row>
    <row r="111" spans="1:17">
      <c r="A111" s="31"/>
      <c r="B111" s="31"/>
      <c r="C111" s="11" t="s">
        <v>102</v>
      </c>
      <c r="D111" s="260">
        <v>32.721794155585798</v>
      </c>
      <c r="E111" s="260">
        <v>21.32</v>
      </c>
      <c r="F111" s="260">
        <v>23.765429944115628</v>
      </c>
      <c r="G111" s="260">
        <v>26.332160907490277</v>
      </c>
      <c r="H111" s="271">
        <v>34.561081454919048</v>
      </c>
      <c r="I111" s="271">
        <v>36.594806354020392</v>
      </c>
      <c r="J111" s="271">
        <v>38.929243185770005</v>
      </c>
      <c r="K111" s="271">
        <v>42.993286488799995</v>
      </c>
      <c r="L111" s="271">
        <v>49.88769974277001</v>
      </c>
      <c r="M111" s="271">
        <v>50.361432459644739</v>
      </c>
      <c r="N111" s="271">
        <v>50.433107231146884</v>
      </c>
      <c r="O111" s="271">
        <v>56.159036407599999</v>
      </c>
      <c r="P111" s="271">
        <v>69.708454688360035</v>
      </c>
      <c r="Q111" s="271">
        <v>54.606561199710001</v>
      </c>
    </row>
    <row r="112" spans="1:17">
      <c r="A112" s="31"/>
      <c r="B112" s="31"/>
      <c r="C112" s="11" t="s">
        <v>103</v>
      </c>
      <c r="D112" s="260">
        <v>14.647129619695242</v>
      </c>
      <c r="E112" s="260">
        <v>13.935242832751573</v>
      </c>
      <c r="F112" s="260">
        <v>17.093935927557343</v>
      </c>
      <c r="G112" s="260">
        <v>16.72341841984008</v>
      </c>
      <c r="H112" s="271">
        <v>21.958428627192202</v>
      </c>
      <c r="I112" s="271">
        <v>22.198545963560385</v>
      </c>
      <c r="J112" s="271">
        <v>24.342995483320003</v>
      </c>
      <c r="K112" s="271">
        <v>27.153111964730002</v>
      </c>
      <c r="L112" s="271">
        <v>32.25752285662</v>
      </c>
      <c r="M112" s="271">
        <v>34.731051273786861</v>
      </c>
      <c r="N112" s="271">
        <v>34.256455156068199</v>
      </c>
      <c r="O112" s="271">
        <v>37.902750965280006</v>
      </c>
      <c r="P112" s="271">
        <v>45.787536909790006</v>
      </c>
      <c r="Q112" s="271">
        <v>54.456290969849988</v>
      </c>
    </row>
    <row r="113" spans="1:17">
      <c r="A113" s="31"/>
      <c r="B113" s="31"/>
      <c r="C113" s="11" t="s">
        <v>105</v>
      </c>
      <c r="D113" s="260">
        <v>4.870909579404171</v>
      </c>
      <c r="E113" s="271">
        <v>3.28</v>
      </c>
      <c r="F113" s="271">
        <v>3.7915205297704633</v>
      </c>
      <c r="G113" s="260">
        <v>4.638664606527013</v>
      </c>
      <c r="H113" s="271">
        <v>5.8304058197778437</v>
      </c>
      <c r="I113" s="271">
        <v>5.3945062927058185</v>
      </c>
      <c r="J113" s="271">
        <v>7.3818773112499985</v>
      </c>
      <c r="K113" s="271">
        <v>8.3798864176999981</v>
      </c>
      <c r="L113" s="271">
        <v>8.6798160545600016</v>
      </c>
      <c r="M113" s="271">
        <v>7.8401524242532092</v>
      </c>
      <c r="N113" s="271">
        <v>9.3754902773500017</v>
      </c>
      <c r="O113" s="271">
        <v>9.8418651860399997</v>
      </c>
      <c r="P113" s="271">
        <v>9.4321457823600028</v>
      </c>
      <c r="Q113" s="271">
        <v>9.3150015445700021</v>
      </c>
    </row>
    <row r="114" spans="1:17">
      <c r="A114" s="31"/>
      <c r="B114" s="31"/>
      <c r="C114" s="11" t="s">
        <v>107</v>
      </c>
      <c r="D114" s="260">
        <v>3.8099182702826582</v>
      </c>
      <c r="E114" s="271">
        <v>8.51</v>
      </c>
      <c r="F114" s="271">
        <v>8.1350001033510644</v>
      </c>
      <c r="G114" s="260">
        <v>9.3638104876501949</v>
      </c>
      <c r="H114" s="271">
        <v>11.72625762167651</v>
      </c>
      <c r="I114" s="271">
        <v>13.066124646108078</v>
      </c>
      <c r="J114" s="271">
        <v>13.489397398839996</v>
      </c>
      <c r="K114" s="271">
        <v>14.47884396035</v>
      </c>
      <c r="L114" s="271">
        <v>16.21167400793</v>
      </c>
      <c r="M114" s="271">
        <v>14.681225489744895</v>
      </c>
      <c r="N114" s="271">
        <v>15.449438116812024</v>
      </c>
      <c r="O114" s="271">
        <v>18.555031167869991</v>
      </c>
      <c r="P114" s="271">
        <v>21.824935093120022</v>
      </c>
      <c r="Q114" s="271">
        <v>-1.3382768153500015</v>
      </c>
    </row>
    <row r="115" spans="1:17">
      <c r="A115" s="31"/>
      <c r="B115" s="31"/>
      <c r="C115" s="11" t="s">
        <v>109</v>
      </c>
      <c r="D115" s="260">
        <v>4.8563979140287827</v>
      </c>
      <c r="E115" s="271">
        <v>5.54</v>
      </c>
      <c r="F115" s="271">
        <v>7.1103940000000003</v>
      </c>
      <c r="G115" s="260">
        <v>8.7276851839416345</v>
      </c>
      <c r="H115" s="271">
        <v>9.8676715212949606</v>
      </c>
      <c r="I115" s="271">
        <v>11.142653565934275</v>
      </c>
      <c r="J115" s="271">
        <v>12.09536042541</v>
      </c>
      <c r="K115" s="271">
        <v>13.386954892219999</v>
      </c>
      <c r="L115" s="271">
        <v>14.498357329099997</v>
      </c>
      <c r="M115" s="271">
        <v>14.298890312878997</v>
      </c>
      <c r="N115" s="271">
        <v>15.090417894307288</v>
      </c>
      <c r="O115" s="271">
        <v>16.953653874210001</v>
      </c>
      <c r="P115" s="271">
        <v>20.411966157810003</v>
      </c>
      <c r="Q115" s="271">
        <v>21.506420096730004</v>
      </c>
    </row>
    <row r="116" spans="1:17">
      <c r="A116" s="31"/>
      <c r="B116" s="31"/>
      <c r="C116" s="11" t="s">
        <v>111</v>
      </c>
      <c r="D116" s="276">
        <v>11.643366045783536</v>
      </c>
      <c r="E116" s="271">
        <v>39.89</v>
      </c>
      <c r="F116" s="271">
        <v>34.230393148705936</v>
      </c>
      <c r="G116" s="276">
        <v>35.560357239753252</v>
      </c>
      <c r="H116" s="271">
        <v>33.929081869073059</v>
      </c>
      <c r="I116" s="271">
        <v>35.704860738175768</v>
      </c>
      <c r="J116" s="271">
        <v>34.651065098976389</v>
      </c>
      <c r="K116" s="271">
        <v>33.676988066780666</v>
      </c>
      <c r="L116" s="271">
        <v>32.496334951341346</v>
      </c>
      <c r="M116" s="271">
        <v>29.151723397679664</v>
      </c>
      <c r="N116" s="271">
        <v>30.633524216550029</v>
      </c>
      <c r="O116" s="271">
        <v>33.040152315289617</v>
      </c>
      <c r="P116" s="271">
        <v>31.3088780847187</v>
      </c>
      <c r="Q116" s="271">
        <v>-2.4507619340020055</v>
      </c>
    </row>
    <row r="117" spans="1:17">
      <c r="A117" s="31"/>
      <c r="B117" s="31"/>
      <c r="C117" s="10"/>
      <c r="D117" s="275"/>
      <c r="E117" s="297"/>
      <c r="F117" s="297"/>
      <c r="G117" s="297"/>
    </row>
    <row r="118" spans="1:17">
      <c r="A118" s="31"/>
      <c r="B118" s="31"/>
      <c r="C118" s="11" t="s">
        <v>172</v>
      </c>
      <c r="D118" s="260">
        <v>3.1341809177292084</v>
      </c>
      <c r="E118" s="260">
        <v>3.51</v>
      </c>
      <c r="F118" s="260">
        <v>6.9946502819241774</v>
      </c>
      <c r="G118" s="260">
        <v>4.3718108348542826</v>
      </c>
      <c r="H118" s="260">
        <v>5.0230979152098536</v>
      </c>
      <c r="I118" s="260">
        <v>5.0924710047259341</v>
      </c>
      <c r="J118" s="260">
        <v>5.5440165460499999</v>
      </c>
      <c r="K118" s="260">
        <v>5.1369909258299993</v>
      </c>
      <c r="L118" s="260">
        <v>5.5438166799799991</v>
      </c>
      <c r="M118" s="271">
        <v>5.4056538387132935</v>
      </c>
      <c r="N118" s="271">
        <v>5.14434376945092</v>
      </c>
      <c r="O118" s="271">
        <v>5.2744428144999986</v>
      </c>
      <c r="P118" s="271">
        <v>7.6016126024099995</v>
      </c>
      <c r="Q118" s="271">
        <v>8.7906102429800033</v>
      </c>
    </row>
    <row r="119" spans="1:17">
      <c r="A119" s="31"/>
      <c r="B119" s="31"/>
      <c r="C119" s="10"/>
      <c r="D119" s="261"/>
      <c r="E119" s="296"/>
      <c r="F119" s="296"/>
      <c r="G119" s="296"/>
    </row>
    <row r="120" spans="1:17">
      <c r="A120" s="31"/>
      <c r="B120" s="31"/>
      <c r="C120" s="11" t="s">
        <v>173</v>
      </c>
      <c r="D120" s="260">
        <v>4.3687898107261836</v>
      </c>
      <c r="E120" s="260">
        <v>4.9400000000000004</v>
      </c>
      <c r="F120" s="260">
        <v>5.0641707807178928</v>
      </c>
      <c r="G120" s="260">
        <v>6.8052805088766588</v>
      </c>
      <c r="H120" s="260">
        <v>6.9945587114090664</v>
      </c>
      <c r="I120" s="260">
        <v>6.0182417831959274</v>
      </c>
      <c r="J120" s="260">
        <v>6.3037380736699982</v>
      </c>
      <c r="K120" s="260">
        <v>4.6784891019799995</v>
      </c>
      <c r="L120" s="260">
        <v>8.4573852354799985</v>
      </c>
      <c r="M120" s="271">
        <v>6.4637948535710636</v>
      </c>
      <c r="N120" s="271">
        <v>5.913108725701222</v>
      </c>
      <c r="O120" s="271">
        <v>5.6576057964699897</v>
      </c>
      <c r="P120" s="271">
        <v>10.33062694140002</v>
      </c>
      <c r="Q120" s="271">
        <v>-10.264214092630002</v>
      </c>
    </row>
    <row r="121" spans="1:17">
      <c r="A121" s="31"/>
      <c r="B121" s="31"/>
      <c r="C121" s="10"/>
      <c r="D121" s="261"/>
      <c r="E121" s="296"/>
      <c r="F121" s="296"/>
      <c r="G121" s="296"/>
    </row>
    <row r="122" spans="1:17">
      <c r="A122" s="31"/>
      <c r="B122" s="31"/>
      <c r="C122" s="11" t="s">
        <v>131</v>
      </c>
      <c r="D122" s="260">
        <v>55.973540533309574</v>
      </c>
      <c r="E122" s="260">
        <v>66.5</v>
      </c>
      <c r="F122" s="260">
        <v>107.44151015745071</v>
      </c>
      <c r="G122" s="260">
        <v>126.75406040054771</v>
      </c>
      <c r="H122" s="260">
        <v>124.01371479544511</v>
      </c>
      <c r="I122" s="260">
        <v>143.80563551572817</v>
      </c>
      <c r="J122" s="260">
        <v>154.45940259434002</v>
      </c>
      <c r="K122" s="260">
        <v>173.36185328135994</v>
      </c>
      <c r="L122" s="271">
        <v>191.89963118078998</v>
      </c>
      <c r="M122" s="260">
        <v>203.2010230040031</v>
      </c>
      <c r="N122" s="260">
        <v>222.8282904376882</v>
      </c>
      <c r="O122" s="260">
        <v>236.63828836226</v>
      </c>
      <c r="P122" s="260">
        <v>271.79074624902006</v>
      </c>
      <c r="Q122" s="260">
        <v>292.27818418702998</v>
      </c>
    </row>
    <row r="123" spans="1:17">
      <c r="A123" s="31"/>
      <c r="B123" s="31"/>
      <c r="C123" s="10"/>
      <c r="D123" s="29"/>
    </row>
    <row r="124" spans="1:17" ht="15.75" customHeight="1">
      <c r="A124" s="41"/>
      <c r="B124" s="329" t="s">
        <v>188</v>
      </c>
      <c r="C124" s="329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</row>
    <row r="125" spans="1:17" ht="15.75" customHeight="1">
      <c r="A125" s="31"/>
      <c r="B125" s="264"/>
      <c r="C125" s="269" t="s">
        <v>8</v>
      </c>
      <c r="D125" s="260"/>
      <c r="E125" s="260"/>
      <c r="F125" s="260"/>
      <c r="G125" s="260"/>
      <c r="H125" s="260"/>
      <c r="I125" s="260"/>
      <c r="J125" s="260"/>
      <c r="K125" s="260"/>
      <c r="L125" s="260"/>
      <c r="M125" s="260"/>
      <c r="N125" s="260"/>
      <c r="O125" s="260"/>
      <c r="P125" s="260"/>
      <c r="Q125" s="260"/>
    </row>
    <row r="126" spans="1:17">
      <c r="A126" s="31"/>
      <c r="B126" s="264"/>
      <c r="C126" s="265" t="s">
        <v>177</v>
      </c>
      <c r="D126" s="260"/>
      <c r="E126" s="260"/>
      <c r="F126" s="260"/>
      <c r="G126" s="260"/>
      <c r="H126" s="260"/>
      <c r="I126" s="260"/>
      <c r="J126" s="260"/>
      <c r="K126" s="260"/>
      <c r="L126" s="260"/>
      <c r="M126" s="260"/>
      <c r="N126" s="260"/>
      <c r="O126" s="260"/>
      <c r="P126" s="260"/>
      <c r="Q126" s="260"/>
    </row>
    <row r="127" spans="1:17">
      <c r="A127" s="31"/>
      <c r="B127" s="264"/>
      <c r="C127" s="265" t="s">
        <v>180</v>
      </c>
      <c r="D127" s="260" t="s">
        <v>186</v>
      </c>
      <c r="E127" s="260" t="s">
        <v>186</v>
      </c>
      <c r="F127" s="260" t="s">
        <v>186</v>
      </c>
      <c r="G127" s="260">
        <v>4.9135863748490003</v>
      </c>
      <c r="H127" s="260">
        <v>3.142957805734</v>
      </c>
      <c r="I127" s="260">
        <v>8.30572647952844</v>
      </c>
      <c r="J127" s="260">
        <v>8.5643148672929996</v>
      </c>
      <c r="K127" s="260">
        <v>8.3772415602280006</v>
      </c>
      <c r="L127" s="260">
        <v>8.7922262433633716</v>
      </c>
      <c r="M127" s="260">
        <v>8.1548344606439809</v>
      </c>
      <c r="N127" s="260">
        <v>8.7613529999999997</v>
      </c>
      <c r="O127" s="260">
        <v>8.5463646320369993</v>
      </c>
      <c r="P127" s="260">
        <v>9.1056397781960001</v>
      </c>
      <c r="Q127" s="260">
        <v>10.926341000000001</v>
      </c>
    </row>
    <row r="128" spans="1:17">
      <c r="A128" s="31"/>
      <c r="B128" s="264"/>
      <c r="C128" s="266" t="s">
        <v>181</v>
      </c>
      <c r="D128" s="260" t="s">
        <v>186</v>
      </c>
      <c r="E128" s="260" t="s">
        <v>186</v>
      </c>
      <c r="F128" s="260" t="s">
        <v>186</v>
      </c>
      <c r="G128" s="260">
        <v>4.9805784719070001</v>
      </c>
      <c r="H128" s="260">
        <v>6.2171663967540001</v>
      </c>
      <c r="I128" s="260">
        <v>7.1488154148924501</v>
      </c>
      <c r="J128" s="260">
        <v>8.0563316086039993</v>
      </c>
      <c r="K128" s="260">
        <v>8.3721439867080001</v>
      </c>
      <c r="L128" s="260">
        <v>8.6773391638008501</v>
      </c>
      <c r="M128" s="260">
        <v>8.4529624583062013</v>
      </c>
      <c r="N128" s="260">
        <v>8.920469101649001</v>
      </c>
      <c r="O128" s="260">
        <v>9.3163582484919996</v>
      </c>
      <c r="P128" s="260">
        <v>9.6968854983530015</v>
      </c>
      <c r="Q128" s="260">
        <v>10.841279999999999</v>
      </c>
    </row>
    <row r="129" spans="1:17">
      <c r="A129" s="31"/>
      <c r="B129" s="264"/>
      <c r="C129" s="266" t="s">
        <v>178</v>
      </c>
      <c r="D129" s="260" t="s">
        <v>186</v>
      </c>
      <c r="E129" s="260" t="s">
        <v>186</v>
      </c>
      <c r="F129" s="260" t="s">
        <v>186</v>
      </c>
      <c r="G129" s="260">
        <v>23.398269610611997</v>
      </c>
      <c r="H129" s="260">
        <v>18.761697000000002</v>
      </c>
      <c r="I129" s="260">
        <v>21.451107171180698</v>
      </c>
      <c r="J129" s="260">
        <v>27.056494251997002</v>
      </c>
      <c r="K129" s="260">
        <v>27.615127251385999</v>
      </c>
      <c r="L129" s="260">
        <v>29.099435328251989</v>
      </c>
      <c r="M129" s="260">
        <v>29.174449053319993</v>
      </c>
      <c r="N129" s="260">
        <v>30.141204594377999</v>
      </c>
      <c r="O129" s="260">
        <v>30.614692161129401</v>
      </c>
      <c r="P129" s="260">
        <v>29.671678077467998</v>
      </c>
      <c r="Q129" s="260">
        <v>30.265813000000001</v>
      </c>
    </row>
    <row r="130" spans="1:17">
      <c r="A130" s="31"/>
      <c r="B130" s="264"/>
      <c r="C130" s="266"/>
      <c r="D130" s="260"/>
      <c r="E130" s="260"/>
      <c r="F130" s="260"/>
      <c r="G130" s="260"/>
      <c r="H130" s="260"/>
      <c r="I130" s="260"/>
      <c r="J130" s="260"/>
      <c r="K130" s="260"/>
      <c r="L130" s="260"/>
      <c r="M130" s="260"/>
      <c r="N130" s="260"/>
      <c r="O130" s="260"/>
      <c r="P130" s="260"/>
      <c r="Q130" s="260"/>
    </row>
    <row r="131" spans="1:17">
      <c r="A131" s="31"/>
      <c r="B131" s="264"/>
      <c r="C131" s="266" t="s">
        <v>179</v>
      </c>
      <c r="D131" s="260"/>
      <c r="E131" s="260"/>
      <c r="F131" s="260"/>
      <c r="G131" s="260"/>
      <c r="H131" s="260"/>
      <c r="I131" s="260"/>
      <c r="J131" s="260"/>
      <c r="K131" s="260"/>
      <c r="L131" s="260"/>
      <c r="M131" s="260"/>
      <c r="N131" s="260"/>
      <c r="O131" s="260"/>
      <c r="P131" s="260"/>
      <c r="Q131" s="260"/>
    </row>
    <row r="132" spans="1:17">
      <c r="A132" s="31"/>
      <c r="B132" s="264"/>
      <c r="C132" s="265" t="s">
        <v>182</v>
      </c>
      <c r="D132" s="260" t="s">
        <v>186</v>
      </c>
      <c r="E132" s="260" t="s">
        <v>186</v>
      </c>
      <c r="F132" s="260" t="s">
        <v>186</v>
      </c>
      <c r="G132" s="260">
        <v>69.440210501531993</v>
      </c>
      <c r="H132" s="260">
        <v>88.969833798574001</v>
      </c>
      <c r="I132" s="260">
        <v>116.02717344113999</v>
      </c>
      <c r="J132" s="260">
        <v>130.65904295108271</v>
      </c>
      <c r="K132" s="260">
        <v>147.074964463485</v>
      </c>
      <c r="L132" s="260">
        <v>185.18165950591847</v>
      </c>
      <c r="M132" s="260">
        <v>213.116142453469</v>
      </c>
      <c r="N132" s="260">
        <v>223.46541688513381</v>
      </c>
      <c r="O132" s="260">
        <v>232.35748071628231</v>
      </c>
      <c r="P132" s="260">
        <v>248.84332727891999</v>
      </c>
      <c r="Q132" s="260">
        <v>270.26292699999999</v>
      </c>
    </row>
    <row r="133" spans="1:17">
      <c r="A133" s="31"/>
      <c r="B133" s="264"/>
      <c r="C133" s="265" t="s">
        <v>116</v>
      </c>
      <c r="D133" s="260" t="s">
        <v>186</v>
      </c>
      <c r="E133" s="260" t="s">
        <v>186</v>
      </c>
      <c r="F133" s="260" t="s">
        <v>186</v>
      </c>
      <c r="G133" s="260">
        <v>-0.12185881508099999</v>
      </c>
      <c r="H133" s="260">
        <v>11.422194442724999</v>
      </c>
      <c r="I133" s="260">
        <v>13.8997771427006</v>
      </c>
      <c r="J133" s="260">
        <v>18.476006305768401</v>
      </c>
      <c r="K133" s="260">
        <v>25.130901104018747</v>
      </c>
      <c r="L133" s="260">
        <v>35.578734113357079</v>
      </c>
      <c r="M133" s="260">
        <v>29.096049720690999</v>
      </c>
      <c r="N133" s="260">
        <v>31.230199301273355</v>
      </c>
      <c r="O133" s="260">
        <v>47.698870505142999</v>
      </c>
      <c r="P133" s="260">
        <v>44.034123803344997</v>
      </c>
      <c r="Q133" s="260">
        <v>43.151820000000001</v>
      </c>
    </row>
    <row r="134" spans="1:17">
      <c r="A134" s="31"/>
      <c r="B134" s="264"/>
      <c r="C134" s="265" t="s">
        <v>189</v>
      </c>
      <c r="D134" s="260" t="s">
        <v>186</v>
      </c>
      <c r="E134" s="260" t="s">
        <v>186</v>
      </c>
      <c r="F134" s="260" t="s">
        <v>186</v>
      </c>
      <c r="G134" s="260">
        <v>56.659353966003991</v>
      </c>
      <c r="H134" s="260">
        <v>13.258705914170999</v>
      </c>
      <c r="I134" s="260">
        <v>49.87</v>
      </c>
      <c r="J134" s="260">
        <v>38.937965995547913</v>
      </c>
      <c r="K134" s="260">
        <v>34.134385506583008</v>
      </c>
      <c r="L134" s="260">
        <v>48.640191072241002</v>
      </c>
      <c r="M134" s="260">
        <v>100.70981986769623</v>
      </c>
      <c r="N134" s="260">
        <v>103.76719312410756</v>
      </c>
      <c r="O134" s="260">
        <v>92.928112781711761</v>
      </c>
      <c r="P134" s="260">
        <v>75.340573278256741</v>
      </c>
      <c r="Q134" s="260">
        <v>70.247906</v>
      </c>
    </row>
    <row r="135" spans="1:17">
      <c r="A135" s="31"/>
      <c r="B135" s="264"/>
      <c r="C135" s="265" t="s">
        <v>120</v>
      </c>
      <c r="D135" s="260" t="s">
        <v>186</v>
      </c>
      <c r="E135" s="260" t="s">
        <v>186</v>
      </c>
      <c r="F135" s="260" t="s">
        <v>186</v>
      </c>
      <c r="G135" s="260">
        <v>186.01034847610995</v>
      </c>
      <c r="H135" s="260">
        <v>208.15563595389438</v>
      </c>
      <c r="I135" s="260">
        <v>263.88583053693202</v>
      </c>
      <c r="J135" s="260">
        <v>313.51154889831764</v>
      </c>
      <c r="K135" s="260">
        <v>360.52503740101315</v>
      </c>
      <c r="L135" s="260">
        <v>429.98252265813795</v>
      </c>
      <c r="M135" s="260">
        <v>506.92274606293699</v>
      </c>
      <c r="N135" s="260">
        <v>620.4900425157025</v>
      </c>
      <c r="O135" s="260">
        <v>727.53553434727303</v>
      </c>
      <c r="P135" s="260">
        <v>808.05797046822101</v>
      </c>
      <c r="Q135" s="260">
        <v>752.56921199999999</v>
      </c>
    </row>
    <row r="136" spans="1:17">
      <c r="A136" s="31"/>
      <c r="B136" s="264"/>
      <c r="C136" s="265" t="s">
        <v>90</v>
      </c>
      <c r="D136" s="260" t="s">
        <v>186</v>
      </c>
      <c r="E136" s="260" t="s">
        <v>186</v>
      </c>
      <c r="F136" s="260" t="s">
        <v>186</v>
      </c>
      <c r="G136" s="260">
        <v>22.108380015215001</v>
      </c>
      <c r="H136" s="260">
        <v>30.994961578331999</v>
      </c>
      <c r="I136" s="260">
        <v>36.8587930536805</v>
      </c>
      <c r="J136" s="260">
        <v>47.546545963110596</v>
      </c>
      <c r="K136" s="260">
        <v>60.42564895922078</v>
      </c>
      <c r="L136" s="260">
        <v>58.266421777348143</v>
      </c>
      <c r="M136" s="260">
        <v>34.513082049719998</v>
      </c>
      <c r="N136" s="260">
        <v>38.313185388378358</v>
      </c>
      <c r="O136" s="260">
        <v>50.464827186309776</v>
      </c>
      <c r="P136" s="260">
        <v>48.346943422789003</v>
      </c>
      <c r="Q136" s="260">
        <v>43.620184999999999</v>
      </c>
    </row>
    <row r="137" spans="1:17">
      <c r="A137" s="31"/>
      <c r="B137" s="264"/>
      <c r="C137" s="265"/>
      <c r="D137" s="262"/>
      <c r="E137" s="260"/>
      <c r="F137" s="260"/>
      <c r="G137" s="260"/>
      <c r="H137" s="260"/>
      <c r="I137" s="260"/>
      <c r="J137" s="260"/>
      <c r="K137" s="260"/>
      <c r="L137" s="260"/>
      <c r="M137" s="260"/>
      <c r="N137" s="260">
        <v>650.63124711008049</v>
      </c>
      <c r="O137" s="260">
        <v>758.1502265084024</v>
      </c>
      <c r="P137" s="260">
        <v>837.72964854568897</v>
      </c>
      <c r="Q137" s="260">
        <v>782.83502499999997</v>
      </c>
    </row>
    <row r="138" spans="1:17" ht="15.75" customHeight="1">
      <c r="A138" s="42"/>
      <c r="B138" s="327" t="s">
        <v>187</v>
      </c>
      <c r="C138" s="327"/>
      <c r="D138" s="267"/>
      <c r="E138" s="267"/>
      <c r="F138" s="267"/>
      <c r="G138" s="267"/>
      <c r="H138" s="267"/>
      <c r="I138" s="267"/>
      <c r="J138" s="267"/>
      <c r="K138" s="267"/>
      <c r="L138" s="267"/>
      <c r="M138" s="267"/>
      <c r="N138" s="267"/>
      <c r="O138" s="267"/>
      <c r="P138" s="267"/>
      <c r="Q138" s="267"/>
    </row>
    <row r="139" spans="1:17">
      <c r="A139" s="43"/>
      <c r="B139" s="268"/>
      <c r="C139" s="269" t="s">
        <v>8</v>
      </c>
      <c r="D139" s="262"/>
      <c r="E139" s="263"/>
      <c r="F139" s="263"/>
      <c r="G139" s="263"/>
    </row>
    <row r="140" spans="1:17">
      <c r="A140" s="43"/>
      <c r="B140" s="268"/>
      <c r="C140" s="270" t="s">
        <v>114</v>
      </c>
      <c r="D140" s="260" t="s">
        <v>186</v>
      </c>
      <c r="E140" s="260" t="s">
        <v>186</v>
      </c>
      <c r="F140" s="260" t="s">
        <v>186</v>
      </c>
      <c r="G140" s="260">
        <v>10.294299000000001</v>
      </c>
      <c r="H140" s="306">
        <v>11.212861382450999</v>
      </c>
      <c r="I140" s="306">
        <v>11.983899444556</v>
      </c>
      <c r="J140" s="306">
        <v>12.206650984538998</v>
      </c>
      <c r="K140" s="260">
        <v>11.919360618093</v>
      </c>
      <c r="L140" s="260">
        <v>12.127952947179001</v>
      </c>
      <c r="M140" s="260">
        <v>11.429766853809999</v>
      </c>
      <c r="N140" s="260">
        <v>11.592846523233998</v>
      </c>
      <c r="O140" s="260">
        <v>16.515554000000002</v>
      </c>
      <c r="P140" s="260">
        <v>12.214917</v>
      </c>
      <c r="Q140" s="260">
        <v>8.9517679999999995</v>
      </c>
    </row>
    <row r="141" spans="1:17">
      <c r="A141" s="43"/>
      <c r="B141" s="268"/>
      <c r="C141" s="270" t="s">
        <v>116</v>
      </c>
      <c r="D141" s="260" t="s">
        <v>186</v>
      </c>
      <c r="E141" s="260" t="s">
        <v>186</v>
      </c>
      <c r="F141" s="260" t="s">
        <v>186</v>
      </c>
      <c r="G141" s="260">
        <v>79.250834999999995</v>
      </c>
      <c r="H141" s="306">
        <v>89.18566147415801</v>
      </c>
      <c r="I141" s="306">
        <v>97.925134758368998</v>
      </c>
      <c r="J141" s="306">
        <v>105.869416135664</v>
      </c>
      <c r="K141" s="260">
        <v>108.13514132364</v>
      </c>
      <c r="L141" s="260">
        <v>113.81766932457801</v>
      </c>
      <c r="M141" s="260">
        <v>122.62070870970801</v>
      </c>
      <c r="N141" s="260">
        <v>116.43773836621004</v>
      </c>
      <c r="O141" s="260">
        <v>139.49134799999999</v>
      </c>
      <c r="P141" s="260">
        <v>144.863022</v>
      </c>
      <c r="Q141" s="260">
        <v>145.94487899999999</v>
      </c>
    </row>
    <row r="142" spans="1:17">
      <c r="A142" s="43"/>
      <c r="B142" s="268"/>
      <c r="C142" s="270" t="s">
        <v>118</v>
      </c>
      <c r="D142" s="260" t="s">
        <v>186</v>
      </c>
      <c r="E142" s="260" t="s">
        <v>186</v>
      </c>
      <c r="F142" s="260" t="s">
        <v>186</v>
      </c>
      <c r="G142" s="260">
        <v>7.0121900000000004</v>
      </c>
      <c r="H142" s="306">
        <v>6.6992450876229999</v>
      </c>
      <c r="I142" s="306">
        <v>10.160438881234001</v>
      </c>
      <c r="J142" s="306">
        <v>12.127001152470999</v>
      </c>
      <c r="K142" s="260">
        <v>13.798103604611001</v>
      </c>
      <c r="L142" s="260">
        <v>14.910638750398</v>
      </c>
      <c r="M142" s="260">
        <v>15.95459948391</v>
      </c>
      <c r="N142" s="260">
        <v>18.315434876911642</v>
      </c>
      <c r="O142" s="260">
        <v>18.741890999999999</v>
      </c>
      <c r="P142" s="260">
        <v>15.811524</v>
      </c>
      <c r="Q142" s="260">
        <v>16.095828000000001</v>
      </c>
    </row>
    <row r="143" spans="1:17">
      <c r="A143" s="43"/>
      <c r="B143" s="268"/>
      <c r="C143" s="270" t="s">
        <v>120</v>
      </c>
      <c r="D143" s="260" t="s">
        <v>186</v>
      </c>
      <c r="E143" s="260" t="s">
        <v>186</v>
      </c>
      <c r="F143" s="260" t="s">
        <v>186</v>
      </c>
      <c r="G143" s="260">
        <v>103.459</v>
      </c>
      <c r="H143" s="306">
        <v>109.64983447006655</v>
      </c>
      <c r="I143" s="306">
        <v>122.65461504567492</v>
      </c>
      <c r="J143" s="306">
        <v>135.30482139506199</v>
      </c>
      <c r="K143" s="260">
        <v>132.17690608335801</v>
      </c>
      <c r="L143" s="260">
        <v>131.56239110760501</v>
      </c>
      <c r="M143" s="260">
        <v>135.93299857680199</v>
      </c>
      <c r="N143" s="260">
        <v>138.75134855208623</v>
      </c>
      <c r="O143" s="260">
        <v>164.06484476361649</v>
      </c>
      <c r="P143" s="260">
        <v>158.05865703436598</v>
      </c>
      <c r="Q143" s="260">
        <v>191.552099</v>
      </c>
    </row>
    <row r="144" spans="1:17" ht="16" thickBot="1">
      <c r="A144" s="44"/>
      <c r="B144" s="44"/>
      <c r="C144" s="45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</row>
    <row r="145" spans="4:7" ht="16" thickTop="1"/>
    <row r="146" spans="4:7">
      <c r="D146" s="48"/>
      <c r="E146" s="48"/>
      <c r="F146" s="48"/>
      <c r="G146" s="48"/>
    </row>
    <row r="147" spans="4:7">
      <c r="D147" s="48"/>
      <c r="E147" s="48"/>
      <c r="F147" s="48"/>
      <c r="G147" s="48"/>
    </row>
    <row r="148" spans="4:7">
      <c r="D148" s="48"/>
      <c r="E148" s="48"/>
      <c r="F148" s="48"/>
      <c r="G148" s="48"/>
    </row>
    <row r="149" spans="4:7">
      <c r="D149" s="48"/>
      <c r="E149" s="48"/>
      <c r="F149" s="48"/>
      <c r="G149" s="48"/>
    </row>
    <row r="150" spans="4:7">
      <c r="D150" s="48"/>
      <c r="E150" s="48"/>
      <c r="F150" s="48"/>
      <c r="G150" s="48"/>
    </row>
  </sheetData>
  <mergeCells count="27">
    <mergeCell ref="B62:C62"/>
    <mergeCell ref="B64:C64"/>
    <mergeCell ref="B68:C68"/>
    <mergeCell ref="A66:G66"/>
    <mergeCell ref="B23:C23"/>
    <mergeCell ref="B24:C24"/>
    <mergeCell ref="B56:C56"/>
    <mergeCell ref="B33:C33"/>
    <mergeCell ref="B31:C31"/>
    <mergeCell ref="B30:C30"/>
    <mergeCell ref="B43:C43"/>
    <mergeCell ref="B45:C45"/>
    <mergeCell ref="A50:C50"/>
    <mergeCell ref="A51:C51"/>
    <mergeCell ref="A54:C54"/>
    <mergeCell ref="A52:C52"/>
    <mergeCell ref="A4:C4"/>
    <mergeCell ref="B6:C6"/>
    <mergeCell ref="B13:C13"/>
    <mergeCell ref="B15:C15"/>
    <mergeCell ref="B17:C17"/>
    <mergeCell ref="B138:C138"/>
    <mergeCell ref="A108:G108"/>
    <mergeCell ref="B124:C124"/>
    <mergeCell ref="B89:C89"/>
    <mergeCell ref="B69:C69"/>
    <mergeCell ref="B87:C87"/>
  </mergeCells>
  <printOptions horizontalCentered="1"/>
  <pageMargins left="0.55118110236220474" right="0.35433070866141736" top="0.78740157480314965" bottom="0.35433070866141736" header="0.31496062992125984" footer="0.31496062992125984"/>
  <pageSetup paperSize="9" scale="63" orientation="portrait" r:id="rId1"/>
  <rowBreaks count="2" manualBreakCount="2">
    <brk id="52" max="16383" man="1"/>
    <brk id="10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B139"/>
  <sheetViews>
    <sheetView zoomScale="80" zoomScaleNormal="80" zoomScaleSheetLayoutView="9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11" sqref="F11"/>
    </sheetView>
  </sheetViews>
  <sheetFormatPr defaultColWidth="9" defaultRowHeight="16" customHeight="1"/>
  <cols>
    <col min="1" max="1" width="2.75" style="51" customWidth="1"/>
    <col min="2" max="2" width="2.83203125" style="51" customWidth="1"/>
    <col min="3" max="3" width="34.83203125" style="51" customWidth="1"/>
    <col min="4" max="4" width="11" style="51" hidden="1" customWidth="1"/>
    <col min="5" max="5" width="0.5" style="51" hidden="1" customWidth="1"/>
    <col min="6" max="6" width="13.58203125" style="51" customWidth="1"/>
    <col min="7" max="7" width="13.58203125" style="53" customWidth="1"/>
    <col min="8" max="9" width="13.58203125" style="51" customWidth="1"/>
    <col min="10" max="10" width="13" style="216" bestFit="1" customWidth="1"/>
    <col min="11" max="11" width="13.83203125" style="51" bestFit="1" customWidth="1"/>
    <col min="12" max="12" width="11.58203125" style="51" bestFit="1" customWidth="1"/>
    <col min="13" max="13" width="18.5" style="51" customWidth="1"/>
    <col min="14" max="14" width="11.5" style="51" bestFit="1" customWidth="1"/>
    <col min="15" max="15" width="12.58203125" style="51" bestFit="1" customWidth="1"/>
    <col min="16" max="16" width="13.58203125" style="51" bestFit="1" customWidth="1"/>
    <col min="17" max="17" width="9" style="51"/>
    <col min="18" max="22" width="11.83203125" style="51" bestFit="1" customWidth="1"/>
    <col min="23" max="23" width="9" style="51"/>
    <col min="24" max="28" width="11.5" style="51" bestFit="1" customWidth="1"/>
    <col min="29" max="16384" width="9" style="51"/>
  </cols>
  <sheetData>
    <row r="1" spans="1:15" ht="16" customHeight="1">
      <c r="A1" s="49" t="s">
        <v>0</v>
      </c>
      <c r="B1" s="50"/>
      <c r="C1" s="50"/>
      <c r="D1" s="50"/>
      <c r="E1" s="50"/>
      <c r="F1" s="50"/>
      <c r="G1" s="50"/>
      <c r="H1" s="50"/>
      <c r="I1" s="50"/>
      <c r="J1" s="215"/>
    </row>
    <row r="2" spans="1:15" ht="16" customHeight="1">
      <c r="A2" s="52" t="s">
        <v>1</v>
      </c>
      <c r="B2" s="50"/>
      <c r="C2" s="50"/>
      <c r="D2" s="50"/>
      <c r="E2" s="50"/>
      <c r="F2" s="50"/>
      <c r="G2" s="50"/>
      <c r="H2" s="50"/>
      <c r="I2" s="50"/>
      <c r="J2" s="215"/>
    </row>
    <row r="3" spans="1:15" ht="16" customHeight="1" thickBot="1"/>
    <row r="4" spans="1:15" ht="16" customHeight="1" thickTop="1">
      <c r="A4" s="355" t="s">
        <v>2</v>
      </c>
      <c r="B4" s="355"/>
      <c r="C4" s="355"/>
      <c r="D4" s="54">
        <v>2005</v>
      </c>
      <c r="E4" s="54">
        <v>2006</v>
      </c>
      <c r="F4" s="54">
        <v>2008</v>
      </c>
      <c r="G4" s="54">
        <v>2009</v>
      </c>
      <c r="H4" s="54">
        <v>2010</v>
      </c>
      <c r="I4" s="54">
        <v>2011</v>
      </c>
      <c r="J4" s="217">
        <v>2012</v>
      </c>
    </row>
    <row r="5" spans="1:15" ht="16" customHeight="1" thickBot="1">
      <c r="A5" s="55"/>
      <c r="B5" s="55"/>
      <c r="C5" s="56" t="s">
        <v>3</v>
      </c>
      <c r="D5" s="57">
        <v>-2</v>
      </c>
      <c r="E5" s="57">
        <v>-2</v>
      </c>
      <c r="F5" s="57">
        <v>-2</v>
      </c>
      <c r="G5" s="57">
        <v>-3</v>
      </c>
      <c r="H5" s="57">
        <v>-4</v>
      </c>
      <c r="I5" s="57">
        <v>-5</v>
      </c>
      <c r="J5" s="218">
        <v>-6</v>
      </c>
    </row>
    <row r="6" spans="1:15" ht="16" customHeight="1" thickTop="1">
      <c r="A6" s="58">
        <v>1</v>
      </c>
      <c r="B6" s="356" t="s">
        <v>4</v>
      </c>
      <c r="C6" s="356"/>
      <c r="D6" s="59"/>
      <c r="E6" s="59"/>
      <c r="F6" s="59"/>
      <c r="G6" s="59"/>
      <c r="H6" s="60"/>
      <c r="I6" s="60"/>
    </row>
    <row r="7" spans="1:15" ht="16" customHeight="1">
      <c r="A7" s="61"/>
      <c r="B7" s="62"/>
      <c r="C7" s="63" t="s">
        <v>5</v>
      </c>
      <c r="D7" s="59"/>
      <c r="E7" s="59"/>
      <c r="F7" s="59"/>
      <c r="G7" s="59"/>
      <c r="H7" s="60"/>
      <c r="I7" s="60"/>
    </row>
    <row r="8" spans="1:15" ht="16" customHeight="1">
      <c r="A8" s="64"/>
      <c r="B8" s="65"/>
      <c r="C8" s="66" t="s">
        <v>6</v>
      </c>
      <c r="D8" s="67">
        <v>2774.2</v>
      </c>
      <c r="E8" s="67">
        <v>3339.2</v>
      </c>
      <c r="F8" s="111">
        <v>4951.3</v>
      </c>
      <c r="G8" s="111">
        <v>5603.8</v>
      </c>
      <c r="H8" s="111">
        <v>6422.9</v>
      </c>
      <c r="I8" s="111">
        <v>7427.1</v>
      </c>
      <c r="J8" s="219">
        <v>8241.9</v>
      </c>
      <c r="O8" s="51" t="s">
        <v>7</v>
      </c>
    </row>
    <row r="9" spans="1:15" ht="16" customHeight="1">
      <c r="A9" s="64"/>
      <c r="B9" s="65"/>
      <c r="C9" s="66" t="s">
        <v>8</v>
      </c>
      <c r="D9" s="68"/>
      <c r="E9" s="68"/>
      <c r="F9" s="116"/>
      <c r="G9" s="116"/>
      <c r="H9" s="116"/>
      <c r="I9" s="117"/>
      <c r="J9" s="220"/>
    </row>
    <row r="10" spans="1:15" ht="16" customHeight="1">
      <c r="A10" s="64"/>
      <c r="B10" s="65"/>
      <c r="C10" s="66" t="s">
        <v>9</v>
      </c>
      <c r="D10" s="68" t="s">
        <v>10</v>
      </c>
      <c r="E10" s="68" t="s">
        <v>11</v>
      </c>
      <c r="F10" s="116" t="s">
        <v>12</v>
      </c>
      <c r="G10" s="116">
        <v>13.240108313462384</v>
      </c>
      <c r="H10" s="116">
        <v>14.616867125878862</v>
      </c>
      <c r="I10" s="117">
        <v>15.6346821529216</v>
      </c>
      <c r="J10" s="220">
        <v>10.970634568001</v>
      </c>
      <c r="K10" s="71"/>
    </row>
    <row r="11" spans="1:15" ht="16" customHeight="1">
      <c r="A11" s="64"/>
      <c r="B11" s="65"/>
      <c r="C11" s="66" t="s">
        <v>13</v>
      </c>
      <c r="D11" s="67">
        <v>1749.5</v>
      </c>
      <c r="E11" s="67">
        <v>1847.1</v>
      </c>
      <c r="F11" s="111">
        <v>2082.3000000000002</v>
      </c>
      <c r="G11" s="111">
        <v>2177</v>
      </c>
      <c r="H11" s="111">
        <v>2310.6999999999998</v>
      </c>
      <c r="I11" s="111">
        <v>2463.1999999999998</v>
      </c>
      <c r="J11" s="219">
        <v>2618.1</v>
      </c>
      <c r="K11" s="72"/>
    </row>
    <row r="12" spans="1:15" ht="16" customHeight="1">
      <c r="A12" s="64"/>
      <c r="B12" s="65"/>
      <c r="C12" s="66" t="s">
        <v>9</v>
      </c>
      <c r="D12" s="68" t="s">
        <v>14</v>
      </c>
      <c r="E12" s="68" t="s">
        <v>15</v>
      </c>
      <c r="F12" s="115" t="s">
        <v>16</v>
      </c>
      <c r="G12" s="115">
        <v>4.5478557364452721</v>
      </c>
      <c r="H12" s="115">
        <v>6.1414790996784374</v>
      </c>
      <c r="I12" s="115">
        <v>6.6</v>
      </c>
      <c r="J12" s="220">
        <v>6.2885677167911602</v>
      </c>
    </row>
    <row r="13" spans="1:15" ht="16" customHeight="1">
      <c r="A13" s="64"/>
      <c r="B13" s="65"/>
      <c r="C13" s="65"/>
      <c r="D13" s="68"/>
      <c r="E13" s="68"/>
      <c r="F13" s="68"/>
      <c r="G13" s="68"/>
      <c r="H13" s="68"/>
      <c r="I13" s="69"/>
      <c r="J13" s="221"/>
    </row>
    <row r="14" spans="1:15" ht="16" customHeight="1">
      <c r="A14" s="73">
        <v>2</v>
      </c>
      <c r="B14" s="357" t="s">
        <v>17</v>
      </c>
      <c r="C14" s="357"/>
      <c r="D14" s="68" t="s">
        <v>18</v>
      </c>
      <c r="E14" s="68" t="s">
        <v>19</v>
      </c>
      <c r="F14" s="68">
        <v>11.06</v>
      </c>
      <c r="G14" s="68">
        <v>2.78</v>
      </c>
      <c r="H14" s="68">
        <v>6.96</v>
      </c>
      <c r="I14" s="68">
        <v>3.79</v>
      </c>
      <c r="J14" s="222">
        <v>4.3</v>
      </c>
    </row>
    <row r="15" spans="1:15" ht="16" customHeight="1">
      <c r="A15" s="73"/>
      <c r="B15" s="65"/>
      <c r="C15" s="75"/>
      <c r="D15" s="68"/>
      <c r="E15" s="68"/>
      <c r="F15" s="68"/>
      <c r="G15" s="68"/>
      <c r="H15" s="68"/>
      <c r="I15" s="68"/>
    </row>
    <row r="16" spans="1:15" ht="16" customHeight="1">
      <c r="A16" s="73">
        <v>3</v>
      </c>
      <c r="B16" s="354" t="s">
        <v>20</v>
      </c>
      <c r="C16" s="354"/>
      <c r="D16" s="68">
        <v>9.83</v>
      </c>
      <c r="E16" s="68">
        <v>9.02</v>
      </c>
      <c r="F16" s="97">
        <v>10950</v>
      </c>
      <c r="G16" s="68">
        <v>9.4039999999999999</v>
      </c>
      <c r="H16" s="76">
        <v>8991</v>
      </c>
      <c r="I16" s="76">
        <v>9068</v>
      </c>
      <c r="J16" s="223">
        <v>10025.385</v>
      </c>
      <c r="K16" s="51">
        <f>+(L16+M16)/2</f>
        <v>10025.385</v>
      </c>
      <c r="L16" s="77">
        <v>10077.57</v>
      </c>
      <c r="M16" s="77">
        <v>9973.2000000000007</v>
      </c>
      <c r="N16" s="78"/>
    </row>
    <row r="17" spans="1:18" ht="16" customHeight="1">
      <c r="A17" s="73"/>
      <c r="B17" s="65"/>
      <c r="C17" s="75"/>
      <c r="D17" s="68"/>
      <c r="E17" s="68"/>
      <c r="F17" s="68"/>
      <c r="G17" s="68"/>
      <c r="H17" s="68"/>
      <c r="I17" s="68"/>
    </row>
    <row r="18" spans="1:18" ht="16" customHeight="1">
      <c r="A18" s="73">
        <v>4</v>
      </c>
      <c r="B18" s="354" t="s">
        <v>134</v>
      </c>
      <c r="C18" s="354"/>
      <c r="D18" s="68">
        <v>219</v>
      </c>
      <c r="E18" s="68">
        <v>222</v>
      </c>
      <c r="F18" s="68">
        <v>229</v>
      </c>
      <c r="G18" s="68" t="s">
        <v>22</v>
      </c>
      <c r="H18" s="68">
        <v>237.6</v>
      </c>
      <c r="I18" s="68">
        <v>241.1</v>
      </c>
      <c r="J18" s="216">
        <v>244</v>
      </c>
      <c r="K18" s="51" t="s">
        <v>162</v>
      </c>
      <c r="L18" s="51" t="s">
        <v>163</v>
      </c>
      <c r="M18" s="51" t="s">
        <v>164</v>
      </c>
      <c r="N18" s="51" t="s">
        <v>165</v>
      </c>
      <c r="O18" s="51" t="s">
        <v>166</v>
      </c>
      <c r="P18" s="51" t="s">
        <v>167</v>
      </c>
      <c r="Q18" s="51" t="s">
        <v>168</v>
      </c>
    </row>
    <row r="19" spans="1:18" ht="16" customHeight="1">
      <c r="A19" s="73"/>
      <c r="B19" s="65"/>
      <c r="C19" s="65"/>
      <c r="D19" s="68"/>
      <c r="E19" s="68"/>
      <c r="F19" s="68"/>
      <c r="G19" s="68"/>
      <c r="H19" s="79"/>
      <c r="I19" s="79"/>
      <c r="K19" s="51" t="s">
        <v>155</v>
      </c>
      <c r="L19" s="51" t="s">
        <v>156</v>
      </c>
      <c r="M19" s="51" t="s">
        <v>157</v>
      </c>
      <c r="N19" s="51" t="s">
        <v>158</v>
      </c>
      <c r="O19" s="51" t="s">
        <v>159</v>
      </c>
      <c r="P19" s="51" t="s">
        <v>160</v>
      </c>
      <c r="Q19" s="51" t="s">
        <v>161</v>
      </c>
    </row>
    <row r="20" spans="1:18" s="246" customFormat="1" ht="16" customHeight="1">
      <c r="A20" s="73">
        <v>5</v>
      </c>
      <c r="B20" s="354" t="s">
        <v>23</v>
      </c>
      <c r="C20" s="354"/>
      <c r="D20" s="68"/>
      <c r="E20" s="68"/>
      <c r="F20" s="68"/>
      <c r="G20" s="68"/>
      <c r="H20" s="79"/>
      <c r="I20" s="79"/>
      <c r="J20" s="216"/>
    </row>
    <row r="21" spans="1:18" s="246" customFormat="1" ht="16" customHeight="1">
      <c r="A21" s="73"/>
      <c r="B21" s="65"/>
      <c r="C21" s="249" t="s">
        <v>24</v>
      </c>
      <c r="D21" s="68">
        <v>105.80200000000001</v>
      </c>
      <c r="E21" s="68">
        <v>106.81100000000001</v>
      </c>
      <c r="F21" s="68">
        <v>111.95</v>
      </c>
      <c r="G21" s="68">
        <v>113.833</v>
      </c>
      <c r="H21" s="250">
        <v>116527</v>
      </c>
      <c r="I21" s="51">
        <v>117.37</v>
      </c>
      <c r="J21" s="51">
        <v>118.05</v>
      </c>
      <c r="K21" s="247" t="s">
        <v>148</v>
      </c>
      <c r="L21" s="247" t="s">
        <v>149</v>
      </c>
      <c r="M21" s="247" t="s">
        <v>150</v>
      </c>
      <c r="N21" s="247" t="s">
        <v>151</v>
      </c>
      <c r="O21" s="247" t="s">
        <v>152</v>
      </c>
      <c r="P21" s="247" t="s">
        <v>153</v>
      </c>
      <c r="Q21" s="248" t="s">
        <v>154</v>
      </c>
      <c r="R21" s="247"/>
    </row>
    <row r="22" spans="1:18" s="246" customFormat="1" ht="16" customHeight="1">
      <c r="A22" s="73"/>
      <c r="B22" s="65"/>
      <c r="C22" s="249" t="s">
        <v>25</v>
      </c>
      <c r="D22" s="68">
        <v>94.947999999999993</v>
      </c>
      <c r="E22" s="68">
        <v>95.456999999999994</v>
      </c>
      <c r="F22" s="68">
        <v>102.55</v>
      </c>
      <c r="G22" s="68">
        <v>104.87</v>
      </c>
      <c r="H22" s="51">
        <v>108.21</v>
      </c>
      <c r="I22" s="51">
        <v>109.67</v>
      </c>
      <c r="J22" s="51">
        <v>110.81</v>
      </c>
    </row>
    <row r="23" spans="1:18" ht="16" customHeight="1">
      <c r="A23" s="81"/>
      <c r="B23" s="82"/>
      <c r="C23" s="82"/>
      <c r="D23" s="83"/>
      <c r="E23" s="83"/>
      <c r="F23" s="83"/>
      <c r="G23" s="83"/>
      <c r="H23" s="84"/>
      <c r="I23" s="84"/>
    </row>
    <row r="24" spans="1:18" ht="16" customHeight="1">
      <c r="A24" s="73">
        <v>5</v>
      </c>
      <c r="B24" s="354" t="s">
        <v>26</v>
      </c>
      <c r="C24" s="354"/>
      <c r="D24" s="68"/>
      <c r="E24" s="68"/>
      <c r="F24" s="68"/>
      <c r="G24" s="68"/>
      <c r="H24" s="79"/>
      <c r="I24" s="79"/>
    </row>
    <row r="25" spans="1:18" ht="16" customHeight="1">
      <c r="A25" s="64"/>
      <c r="B25" s="358" t="s">
        <v>27</v>
      </c>
      <c r="C25" s="358"/>
      <c r="D25" s="68">
        <v>157</v>
      </c>
      <c r="E25" s="68">
        <v>157</v>
      </c>
      <c r="F25" s="68">
        <v>144</v>
      </c>
      <c r="G25" s="68">
        <v>144</v>
      </c>
      <c r="H25" s="79">
        <v>141</v>
      </c>
      <c r="I25" s="79">
        <f>SUM(I26:I30)</f>
        <v>139</v>
      </c>
      <c r="J25" s="216">
        <v>140</v>
      </c>
    </row>
    <row r="26" spans="1:18" ht="16" customHeight="1">
      <c r="A26" s="64"/>
      <c r="B26" s="65"/>
      <c r="C26" s="66" t="s">
        <v>28</v>
      </c>
      <c r="D26" s="68">
        <v>51</v>
      </c>
      <c r="E26" s="68">
        <v>51</v>
      </c>
      <c r="F26" s="68">
        <v>45</v>
      </c>
      <c r="G26" s="68">
        <v>46</v>
      </c>
      <c r="H26" s="79">
        <v>45</v>
      </c>
      <c r="I26" s="79">
        <v>45</v>
      </c>
      <c r="J26" s="216">
        <v>47</v>
      </c>
    </row>
    <row r="27" spans="1:18" ht="16" customHeight="1">
      <c r="A27" s="64"/>
      <c r="B27" s="65"/>
      <c r="C27" s="66" t="s">
        <v>29</v>
      </c>
      <c r="D27" s="68">
        <v>97</v>
      </c>
      <c r="E27" s="68">
        <v>97</v>
      </c>
      <c r="F27" s="68">
        <v>90</v>
      </c>
      <c r="G27" s="68">
        <v>89</v>
      </c>
      <c r="H27" s="79">
        <v>87</v>
      </c>
      <c r="I27" s="79">
        <v>85</v>
      </c>
      <c r="J27" s="216">
        <v>84</v>
      </c>
    </row>
    <row r="28" spans="1:18" ht="16" customHeight="1">
      <c r="A28" s="64"/>
      <c r="B28" s="65"/>
      <c r="C28" s="66" t="s">
        <v>30</v>
      </c>
      <c r="D28" s="68">
        <v>4</v>
      </c>
      <c r="E28" s="68">
        <v>4</v>
      </c>
      <c r="F28" s="68">
        <v>4</v>
      </c>
      <c r="G28" s="68">
        <v>4</v>
      </c>
      <c r="H28" s="79">
        <v>4</v>
      </c>
      <c r="I28" s="79">
        <v>4</v>
      </c>
      <c r="J28" s="216">
        <v>4</v>
      </c>
    </row>
    <row r="29" spans="1:18" ht="16" customHeight="1">
      <c r="A29" s="64"/>
      <c r="B29" s="65"/>
      <c r="C29" s="66" t="s">
        <v>31</v>
      </c>
      <c r="D29" s="68">
        <v>2</v>
      </c>
      <c r="E29" s="68">
        <v>2</v>
      </c>
      <c r="F29" s="68">
        <v>2</v>
      </c>
      <c r="G29" s="68">
        <v>2</v>
      </c>
      <c r="H29" s="79">
        <v>2</v>
      </c>
      <c r="I29" s="79">
        <v>2</v>
      </c>
      <c r="J29" s="216">
        <v>2</v>
      </c>
    </row>
    <row r="30" spans="1:18" ht="16" customHeight="1">
      <c r="A30" s="64"/>
      <c r="B30" s="65"/>
      <c r="C30" s="66" t="s">
        <v>32</v>
      </c>
      <c r="D30" s="68">
        <v>3</v>
      </c>
      <c r="E30" s="68">
        <v>3</v>
      </c>
      <c r="F30" s="68">
        <v>3</v>
      </c>
      <c r="G30" s="68">
        <v>3</v>
      </c>
      <c r="H30" s="79">
        <v>3</v>
      </c>
      <c r="I30" s="79">
        <v>3</v>
      </c>
      <c r="J30" s="216">
        <v>3</v>
      </c>
    </row>
    <row r="31" spans="1:18" ht="16" customHeight="1">
      <c r="A31" s="64"/>
      <c r="B31" s="358" t="s">
        <v>33</v>
      </c>
      <c r="C31" s="358"/>
      <c r="D31" s="68">
        <v>155</v>
      </c>
      <c r="E31" s="68">
        <v>166</v>
      </c>
      <c r="F31" s="68">
        <v>162</v>
      </c>
      <c r="G31" s="68">
        <v>164</v>
      </c>
      <c r="H31" s="79">
        <v>159</v>
      </c>
      <c r="I31" s="79">
        <v>165</v>
      </c>
      <c r="J31" s="216">
        <v>179</v>
      </c>
    </row>
    <row r="32" spans="1:18" ht="16" customHeight="1">
      <c r="A32" s="64"/>
      <c r="B32" s="358" t="s">
        <v>34</v>
      </c>
      <c r="C32" s="358"/>
      <c r="D32" s="68">
        <v>30</v>
      </c>
      <c r="E32" s="68">
        <v>33</v>
      </c>
      <c r="F32" s="68">
        <v>27</v>
      </c>
      <c r="G32" s="68">
        <v>28</v>
      </c>
      <c r="H32" s="79">
        <v>27</v>
      </c>
      <c r="I32" s="79">
        <v>27</v>
      </c>
      <c r="J32" s="216">
        <v>26</v>
      </c>
    </row>
    <row r="33" spans="1:14" ht="16" customHeight="1">
      <c r="A33" s="64"/>
      <c r="B33" s="358" t="s">
        <v>35</v>
      </c>
      <c r="C33" s="358"/>
      <c r="D33" s="68">
        <v>28</v>
      </c>
      <c r="E33" s="68">
        <v>30</v>
      </c>
      <c r="F33" s="68">
        <v>28</v>
      </c>
      <c r="G33" s="68">
        <v>29</v>
      </c>
      <c r="H33" s="79">
        <v>28</v>
      </c>
      <c r="I33" s="79">
        <v>29</v>
      </c>
      <c r="J33" s="216">
        <v>29</v>
      </c>
    </row>
    <row r="34" spans="1:14" ht="16" customHeight="1">
      <c r="A34" s="85"/>
      <c r="B34" s="358" t="s">
        <v>127</v>
      </c>
      <c r="C34" s="358"/>
      <c r="D34" s="83"/>
      <c r="E34" s="83"/>
      <c r="F34" s="83"/>
      <c r="G34" s="83"/>
      <c r="H34" s="84"/>
      <c r="I34" s="84"/>
      <c r="J34" s="216">
        <v>24</v>
      </c>
    </row>
    <row r="35" spans="1:14" ht="16" customHeight="1">
      <c r="A35" s="85"/>
      <c r="B35" s="86"/>
      <c r="C35" s="86"/>
      <c r="D35" s="83"/>
      <c r="E35" s="83"/>
      <c r="F35" s="83"/>
      <c r="G35" s="83"/>
      <c r="H35" s="84"/>
      <c r="I35" s="84"/>
    </row>
    <row r="36" spans="1:14" ht="16" customHeight="1">
      <c r="A36" s="73">
        <v>6</v>
      </c>
      <c r="B36" s="354" t="s">
        <v>36</v>
      </c>
      <c r="C36" s="354"/>
      <c r="D36" s="68"/>
      <c r="E36" s="68"/>
      <c r="F36" s="68"/>
      <c r="G36" s="68"/>
      <c r="H36" s="79"/>
      <c r="I36" s="79"/>
      <c r="L36" s="51" t="s">
        <v>7</v>
      </c>
    </row>
    <row r="37" spans="1:14" ht="16" customHeight="1">
      <c r="A37" s="64"/>
      <c r="B37" s="65"/>
      <c r="C37" s="66" t="s">
        <v>37</v>
      </c>
      <c r="D37" s="68">
        <v>212.488</v>
      </c>
      <c r="E37" s="70">
        <v>236.08</v>
      </c>
      <c r="F37" s="118">
        <v>380269</v>
      </c>
      <c r="G37" s="118">
        <v>448193</v>
      </c>
      <c r="H37" s="80">
        <v>853482.70623610367</v>
      </c>
      <c r="I37" s="87">
        <v>644468</v>
      </c>
      <c r="J37" s="224">
        <v>719557.25634883204</v>
      </c>
    </row>
    <row r="38" spans="1:14" ht="16" customHeight="1">
      <c r="A38" s="64"/>
      <c r="B38" s="65"/>
      <c r="C38" s="66" t="s">
        <v>135</v>
      </c>
      <c r="D38" s="68" t="s">
        <v>38</v>
      </c>
      <c r="E38" s="88">
        <v>174934184</v>
      </c>
      <c r="F38" s="109">
        <v>243.57936699999999</v>
      </c>
      <c r="G38" s="109">
        <v>320.89185800000001</v>
      </c>
      <c r="H38" s="110">
        <v>405.23096071667197</v>
      </c>
      <c r="I38" s="110">
        <v>479.84104861454199</v>
      </c>
      <c r="J38" s="224">
        <v>569.32000000000005</v>
      </c>
    </row>
    <row r="39" spans="1:14" ht="16" customHeight="1">
      <c r="A39" s="64"/>
      <c r="B39" s="65"/>
      <c r="C39" s="65" t="s">
        <v>39</v>
      </c>
      <c r="D39" s="68"/>
      <c r="E39" s="68"/>
      <c r="F39" s="68"/>
      <c r="G39" s="68"/>
      <c r="H39" s="79"/>
      <c r="I39" s="79"/>
      <c r="J39" s="224"/>
    </row>
    <row r="40" spans="1:14" ht="16" customHeight="1">
      <c r="A40" s="64"/>
      <c r="B40" s="65"/>
      <c r="C40" s="65" t="s">
        <v>40</v>
      </c>
      <c r="D40" s="68" t="s">
        <v>41</v>
      </c>
      <c r="E40" s="68" t="s">
        <v>42</v>
      </c>
      <c r="F40" s="89">
        <v>6.547506089309878</v>
      </c>
      <c r="G40" s="89">
        <v>7.6663054177522394</v>
      </c>
      <c r="H40" s="89">
        <v>7.5617288826185032</v>
      </c>
      <c r="I40" s="89">
        <v>12.524083821689832</v>
      </c>
      <c r="J40" s="224">
        <v>9.463309499574196</v>
      </c>
    </row>
    <row r="41" spans="1:14" ht="16" customHeight="1">
      <c r="A41" s="64"/>
      <c r="B41" s="65"/>
      <c r="C41" s="65" t="s">
        <v>43</v>
      </c>
      <c r="D41" s="68" t="s">
        <v>44</v>
      </c>
      <c r="E41" s="68" t="s">
        <v>45</v>
      </c>
      <c r="F41" s="89">
        <v>1.0186209480338497</v>
      </c>
      <c r="G41" s="89">
        <v>1.1014931653520825</v>
      </c>
      <c r="H41" s="89">
        <v>1.1685935470947988</v>
      </c>
      <c r="I41" s="89">
        <v>1.2087315384900204</v>
      </c>
      <c r="J41" s="224">
        <v>1.3143813926400466E-6</v>
      </c>
    </row>
    <row r="42" spans="1:14" ht="16" customHeight="1">
      <c r="A42" s="64"/>
      <c r="B42" s="65"/>
      <c r="C42" s="66" t="s">
        <v>46</v>
      </c>
      <c r="D42" s="68" t="s">
        <v>47</v>
      </c>
      <c r="E42" s="68" t="s">
        <v>48</v>
      </c>
      <c r="F42" s="90">
        <v>1.2934639100994092</v>
      </c>
      <c r="G42" s="90">
        <v>1.3314370234267341</v>
      </c>
      <c r="H42" s="90">
        <v>1.3869016516339265</v>
      </c>
      <c r="I42" s="90">
        <v>1.3689082051075407</v>
      </c>
      <c r="J42" s="224">
        <v>1.6897174938712056</v>
      </c>
    </row>
    <row r="43" spans="1:14" ht="16" customHeight="1">
      <c r="A43" s="64"/>
      <c r="B43" s="65"/>
      <c r="C43" s="65" t="s">
        <v>49</v>
      </c>
      <c r="D43" s="68">
        <v>1.98</v>
      </c>
      <c r="E43" s="68">
        <v>2.13</v>
      </c>
      <c r="F43" s="90">
        <v>4.9178652931854199</v>
      </c>
      <c r="G43" s="90">
        <v>6.5064872760679835</v>
      </c>
      <c r="H43" s="90">
        <v>8.1559009266829996</v>
      </c>
      <c r="I43" s="90">
        <v>9.288658327750337</v>
      </c>
      <c r="J43" s="224">
        <v>10.284175547152516</v>
      </c>
    </row>
    <row r="44" spans="1:14" ht="16" customHeight="1">
      <c r="A44" s="64"/>
      <c r="B44" s="65"/>
      <c r="C44" s="65" t="s">
        <v>50</v>
      </c>
      <c r="D44" s="68" t="s">
        <v>45</v>
      </c>
      <c r="E44" s="68" t="s">
        <v>51</v>
      </c>
      <c r="F44" s="90">
        <v>1.6707711184747633</v>
      </c>
      <c r="G44" s="90">
        <v>1.8448479559026183</v>
      </c>
      <c r="H44" s="90">
        <v>2.0891454651393464</v>
      </c>
      <c r="I44" s="90">
        <v>2.2723912200921395</v>
      </c>
      <c r="J44" s="224">
        <v>2.540009930865895</v>
      </c>
    </row>
    <row r="45" spans="1:14" ht="16" customHeight="1">
      <c r="A45" s="85"/>
      <c r="B45" s="82"/>
      <c r="C45" s="82"/>
      <c r="D45" s="83"/>
      <c r="E45" s="83"/>
      <c r="F45" s="83"/>
      <c r="G45" s="83"/>
      <c r="H45" s="84"/>
      <c r="I45" s="84"/>
    </row>
    <row r="46" spans="1:14" s="93" customFormat="1" ht="16" customHeight="1">
      <c r="A46" s="119"/>
      <c r="B46" s="347" t="s">
        <v>52</v>
      </c>
      <c r="C46" s="347"/>
      <c r="D46" s="120"/>
      <c r="E46" s="120"/>
      <c r="F46" s="120"/>
      <c r="G46" s="120"/>
      <c r="H46" s="120"/>
      <c r="I46" s="120"/>
      <c r="J46" s="225"/>
    </row>
    <row r="47" spans="1:14" s="93" customFormat="1" ht="16" customHeight="1">
      <c r="A47" s="119"/>
      <c r="B47" s="121"/>
      <c r="C47" s="121"/>
      <c r="D47" s="122"/>
      <c r="E47" s="122"/>
      <c r="F47" s="122"/>
      <c r="G47" s="122"/>
      <c r="H47" s="123"/>
      <c r="I47" s="123"/>
      <c r="J47" s="226"/>
    </row>
    <row r="48" spans="1:14" s="93" customFormat="1" ht="16" customHeight="1">
      <c r="A48" s="119"/>
      <c r="B48" s="348" t="s">
        <v>53</v>
      </c>
      <c r="C48" s="348"/>
      <c r="D48" s="124"/>
      <c r="E48" s="122"/>
      <c r="F48" s="122"/>
      <c r="G48" s="122"/>
      <c r="H48" s="123"/>
      <c r="I48" s="123"/>
      <c r="J48" s="226"/>
      <c r="K48" s="93" t="s">
        <v>54</v>
      </c>
      <c r="L48" s="93" t="s">
        <v>55</v>
      </c>
      <c r="M48" s="92" t="s">
        <v>54</v>
      </c>
      <c r="N48" s="92" t="s">
        <v>55</v>
      </c>
    </row>
    <row r="49" spans="1:14" s="93" customFormat="1" ht="16" customHeight="1">
      <c r="A49" s="119"/>
      <c r="B49" s="121"/>
      <c r="C49" s="124" t="s">
        <v>56</v>
      </c>
      <c r="D49" s="122" t="s">
        <v>57</v>
      </c>
      <c r="E49" s="125">
        <v>9843859</v>
      </c>
      <c r="F49" s="125">
        <v>19825209</v>
      </c>
      <c r="G49" s="126">
        <v>12043414</v>
      </c>
      <c r="H49" s="127">
        <v>13192184.002394499</v>
      </c>
      <c r="I49" s="127">
        <f>+K49+L49</f>
        <v>37188095.622043692</v>
      </c>
      <c r="J49" s="227">
        <v>15964094.07666583</v>
      </c>
      <c r="K49" s="128">
        <v>35113047.622043692</v>
      </c>
      <c r="L49" s="129">
        <v>2075048</v>
      </c>
      <c r="M49" s="92">
        <v>46490488.775590271</v>
      </c>
      <c r="N49" s="92"/>
    </row>
    <row r="50" spans="1:14" s="93" customFormat="1" ht="16" customHeight="1">
      <c r="A50" s="119"/>
      <c r="B50" s="121"/>
      <c r="C50" s="124" t="s">
        <v>140</v>
      </c>
      <c r="D50" s="125">
        <v>237699587</v>
      </c>
      <c r="E50" s="125">
        <v>196562339</v>
      </c>
      <c r="F50" s="130">
        <v>324.18666899999999</v>
      </c>
      <c r="G50" s="131">
        <v>429.604423</v>
      </c>
      <c r="H50" s="132">
        <v>485.68228440170401</v>
      </c>
      <c r="I50" s="132">
        <v>930.17622952072497</v>
      </c>
      <c r="J50" s="228">
        <v>779.95650564540597</v>
      </c>
      <c r="K50" s="128">
        <v>836596596.78667879</v>
      </c>
      <c r="L50" s="129">
        <v>93579632.734046727</v>
      </c>
      <c r="M50" s="92">
        <v>2480798622.3670859</v>
      </c>
      <c r="N50" s="92"/>
    </row>
    <row r="51" spans="1:14" s="93" customFormat="1" ht="16" customHeight="1" thickBot="1">
      <c r="A51" s="133"/>
      <c r="B51" s="134"/>
      <c r="C51" s="135" t="s">
        <v>141</v>
      </c>
      <c r="D51" s="136" t="s">
        <v>58</v>
      </c>
      <c r="E51" s="137">
        <v>16665313</v>
      </c>
      <c r="F51" s="138">
        <v>27.260117000000001</v>
      </c>
      <c r="G51" s="139">
        <v>34.287022999999998</v>
      </c>
      <c r="H51" s="140">
        <v>33.248894007842701</v>
      </c>
      <c r="I51" s="140">
        <v>46.643027782748</v>
      </c>
      <c r="J51" s="228">
        <v>103.41938924746</v>
      </c>
      <c r="K51" s="128">
        <v>46138759.327802524</v>
      </c>
      <c r="L51" s="128">
        <v>504268.45494547772</v>
      </c>
      <c r="M51" s="92">
        <f>'[1]3.11'!$I$13</f>
        <v>102738227.00965084</v>
      </c>
      <c r="N51" s="92"/>
    </row>
    <row r="52" spans="1:14" s="93" customFormat="1" ht="16" customHeight="1" thickBot="1">
      <c r="A52" s="141"/>
      <c r="B52" s="142"/>
      <c r="C52" s="142"/>
      <c r="D52" s="143"/>
      <c r="E52" s="143"/>
      <c r="F52" s="143"/>
      <c r="G52" s="144"/>
      <c r="H52" s="145"/>
      <c r="I52" s="145"/>
      <c r="J52" s="229"/>
    </row>
    <row r="53" spans="1:14" s="93" customFormat="1" ht="16" customHeight="1">
      <c r="A53" s="349" t="s">
        <v>59</v>
      </c>
      <c r="B53" s="349"/>
      <c r="C53" s="349"/>
      <c r="D53" s="146"/>
      <c r="E53" s="146"/>
      <c r="F53" s="146"/>
      <c r="G53" s="147"/>
      <c r="H53" s="148"/>
      <c r="I53" s="148"/>
      <c r="J53" s="226"/>
    </row>
    <row r="54" spans="1:14" s="93" customFormat="1" ht="16" customHeight="1">
      <c r="A54" s="350" t="s">
        <v>60</v>
      </c>
      <c r="B54" s="350"/>
      <c r="C54" s="350"/>
      <c r="D54" s="149"/>
      <c r="E54" s="149"/>
      <c r="F54" s="149"/>
      <c r="G54" s="150"/>
      <c r="H54" s="148"/>
      <c r="I54" s="148"/>
      <c r="J54" s="226"/>
      <c r="K54" s="93">
        <f>+I60/1000000</f>
        <v>38.62550595177315</v>
      </c>
    </row>
    <row r="55" spans="1:14" s="93" customFormat="1" ht="16" customHeight="1">
      <c r="A55" s="350" t="s">
        <v>61</v>
      </c>
      <c r="B55" s="350"/>
      <c r="C55" s="350"/>
      <c r="D55" s="350"/>
      <c r="E55" s="350"/>
      <c r="F55" s="350"/>
      <c r="G55" s="150"/>
      <c r="H55" s="148"/>
      <c r="I55" s="148"/>
      <c r="J55" s="226"/>
    </row>
    <row r="56" spans="1:14" s="93" customFormat="1" ht="16" customHeight="1">
      <c r="G56" s="151"/>
      <c r="J56" s="226"/>
      <c r="K56" s="152">
        <f>+K54/I18</f>
        <v>0.16020533368632581</v>
      </c>
    </row>
    <row r="57" spans="1:14" s="93" customFormat="1" ht="16" customHeight="1" thickBot="1">
      <c r="A57" s="351" t="s">
        <v>133</v>
      </c>
      <c r="B57" s="351"/>
      <c r="C57" s="351"/>
      <c r="D57" s="351"/>
      <c r="E57" s="351"/>
      <c r="F57" s="351"/>
      <c r="G57" s="351"/>
      <c r="J57" s="226"/>
    </row>
    <row r="58" spans="1:14" s="93" customFormat="1" ht="16" customHeight="1" thickTop="1" thickBot="1">
      <c r="A58" s="153"/>
      <c r="B58" s="153"/>
      <c r="C58" s="154"/>
      <c r="D58" s="154">
        <v>-2</v>
      </c>
      <c r="E58" s="154">
        <v>-3</v>
      </c>
      <c r="F58" s="155">
        <v>2008</v>
      </c>
      <c r="G58" s="155">
        <v>2009</v>
      </c>
      <c r="H58" s="155">
        <v>2010</v>
      </c>
      <c r="I58" s="155">
        <v>2011</v>
      </c>
      <c r="J58" s="251">
        <v>2012</v>
      </c>
    </row>
    <row r="59" spans="1:14" s="93" customFormat="1" ht="16" customHeight="1" thickTop="1">
      <c r="A59" s="156"/>
      <c r="B59" s="352" t="s">
        <v>63</v>
      </c>
      <c r="C59" s="352"/>
      <c r="D59" s="157"/>
      <c r="E59" s="157"/>
      <c r="F59" s="157"/>
      <c r="G59" s="157"/>
      <c r="H59" s="158"/>
      <c r="I59" s="158"/>
      <c r="J59" s="226"/>
      <c r="K59" s="93" t="s">
        <v>54</v>
      </c>
      <c r="L59" s="93" t="s">
        <v>55</v>
      </c>
    </row>
    <row r="60" spans="1:14" s="93" customFormat="1" ht="16" customHeight="1">
      <c r="A60" s="159"/>
      <c r="B60" s="121"/>
      <c r="C60" s="124" t="s">
        <v>56</v>
      </c>
      <c r="D60" s="122" t="s">
        <v>64</v>
      </c>
      <c r="E60" s="125">
        <v>32147975</v>
      </c>
      <c r="F60" s="125">
        <v>43410774</v>
      </c>
      <c r="G60" s="126">
        <v>38387734</v>
      </c>
      <c r="H60" s="127">
        <v>34564028.352910504</v>
      </c>
      <c r="I60" s="127">
        <f>+K60+L60</f>
        <v>38625505.951773152</v>
      </c>
      <c r="J60" s="227">
        <v>49682841.436614707</v>
      </c>
      <c r="K60" s="92">
        <v>33859312.951773152</v>
      </c>
      <c r="L60" s="92">
        <v>4766193</v>
      </c>
    </row>
    <row r="61" spans="1:14" s="93" customFormat="1" ht="16" customHeight="1">
      <c r="A61" s="159"/>
      <c r="B61" s="121"/>
      <c r="C61" s="124" t="s">
        <v>136</v>
      </c>
      <c r="D61" s="122" t="s">
        <v>65</v>
      </c>
      <c r="E61" s="125">
        <v>685074460</v>
      </c>
      <c r="F61" s="130">
        <v>1211.751898</v>
      </c>
      <c r="G61" s="131">
        <v>1361.0731229999999</v>
      </c>
      <c r="H61" s="132">
        <v>1654.93468978235</v>
      </c>
      <c r="I61" s="132">
        <v>2241.0000875241099</v>
      </c>
      <c r="J61" s="228">
        <v>2657.8233349206798</v>
      </c>
      <c r="K61" s="92">
        <v>1996023965.4487619</v>
      </c>
      <c r="L61" s="92">
        <v>244976122.07534933</v>
      </c>
    </row>
    <row r="62" spans="1:14" s="93" customFormat="1" ht="16" customHeight="1">
      <c r="A62" s="159"/>
      <c r="B62" s="121"/>
      <c r="C62" s="124" t="s">
        <v>137</v>
      </c>
      <c r="D62" s="122" t="s">
        <v>66</v>
      </c>
      <c r="E62" s="125">
        <v>27498290</v>
      </c>
      <c r="F62" s="130">
        <v>50.434978999999998</v>
      </c>
      <c r="G62" s="131">
        <v>61.725473999999998</v>
      </c>
      <c r="H62" s="132">
        <v>75.057594936351819</v>
      </c>
      <c r="I62" s="132">
        <v>89.773700095192297</v>
      </c>
      <c r="J62" s="226">
        <v>108.33</v>
      </c>
      <c r="K62" s="92">
        <v>89165011.162193716</v>
      </c>
      <c r="L62" s="92">
        <v>608688.932998584</v>
      </c>
    </row>
    <row r="63" spans="1:14" s="93" customFormat="1" ht="16" customHeight="1">
      <c r="A63" s="159"/>
      <c r="B63" s="121"/>
      <c r="C63" s="124" t="s">
        <v>67</v>
      </c>
      <c r="D63" s="122" t="s">
        <v>68</v>
      </c>
      <c r="E63" s="122" t="s">
        <v>69</v>
      </c>
      <c r="F63" s="122" t="s">
        <v>70</v>
      </c>
      <c r="G63" s="160" t="s">
        <v>71</v>
      </c>
      <c r="H63" s="161">
        <v>14.57</v>
      </c>
      <c r="I63" s="162">
        <v>16.02</v>
      </c>
      <c r="J63" s="228">
        <v>10.892718585740472</v>
      </c>
    </row>
    <row r="64" spans="1:14" s="93" customFormat="1" ht="16" customHeight="1">
      <c r="A64" s="159"/>
      <c r="B64" s="121"/>
      <c r="C64" s="121"/>
      <c r="D64" s="122"/>
      <c r="E64" s="122"/>
      <c r="F64" s="163"/>
      <c r="G64" s="163"/>
      <c r="H64" s="163"/>
      <c r="I64" s="163"/>
      <c r="J64" s="230"/>
    </row>
    <row r="65" spans="1:28" s="93" customFormat="1" ht="16" customHeight="1">
      <c r="A65" s="159"/>
      <c r="B65" s="353" t="s">
        <v>138</v>
      </c>
      <c r="C65" s="353"/>
      <c r="D65" s="122" t="s">
        <v>72</v>
      </c>
      <c r="E65" s="125">
        <v>53858124</v>
      </c>
      <c r="F65" s="130">
        <v>82.226436000000007</v>
      </c>
      <c r="G65" s="131">
        <v>113.01192899999999</v>
      </c>
      <c r="H65" s="132">
        <v>153.20827192067</v>
      </c>
      <c r="I65" s="132">
        <v>192.75487289934699</v>
      </c>
      <c r="J65" s="231">
        <v>188.35352156356601</v>
      </c>
      <c r="K65" s="92">
        <v>192411228.97420132</v>
      </c>
      <c r="L65" s="92">
        <v>343643.92514517088</v>
      </c>
    </row>
    <row r="66" spans="1:28" s="93" customFormat="1" ht="16" customHeight="1">
      <c r="A66" s="159"/>
      <c r="B66" s="121"/>
      <c r="C66" s="121"/>
      <c r="D66" s="122"/>
      <c r="E66" s="122"/>
      <c r="F66" s="122"/>
      <c r="G66" s="160"/>
      <c r="H66" s="127"/>
      <c r="I66" s="127"/>
      <c r="J66" s="226"/>
    </row>
    <row r="67" spans="1:28" s="93" customFormat="1" ht="16" customHeight="1">
      <c r="A67" s="159"/>
      <c r="B67" s="353" t="s">
        <v>139</v>
      </c>
      <c r="C67" s="353"/>
      <c r="D67" s="122" t="s">
        <v>73</v>
      </c>
      <c r="E67" s="125">
        <v>71034086</v>
      </c>
      <c r="F67" s="163">
        <v>102.404709</v>
      </c>
      <c r="G67" s="163">
        <v>141.64622800000001</v>
      </c>
      <c r="H67" s="164">
        <v>188.45840271286411</v>
      </c>
      <c r="I67" s="164">
        <v>228.79823192914628</v>
      </c>
      <c r="J67" s="226">
        <v>269.25</v>
      </c>
      <c r="K67" s="92">
        <v>221552163.62332094</v>
      </c>
      <c r="L67" s="92">
        <v>1974134.2404516414</v>
      </c>
      <c r="M67" s="92">
        <v>873638.72473631741</v>
      </c>
      <c r="N67" s="92">
        <v>4398295.3406374231</v>
      </c>
    </row>
    <row r="68" spans="1:28" ht="16" customHeight="1">
      <c r="A68" s="94"/>
      <c r="B68" s="65"/>
      <c r="C68" s="65"/>
      <c r="D68" s="68"/>
      <c r="E68" s="68"/>
      <c r="F68" s="115"/>
      <c r="G68" s="115"/>
      <c r="H68" s="115"/>
      <c r="I68" s="115"/>
      <c r="J68" s="232"/>
    </row>
    <row r="69" spans="1:28" ht="16" customHeight="1">
      <c r="A69" s="344" t="s">
        <v>74</v>
      </c>
      <c r="B69" s="344"/>
      <c r="C69" s="344"/>
      <c r="D69" s="344"/>
      <c r="E69" s="344"/>
      <c r="F69" s="344"/>
      <c r="G69" s="344"/>
      <c r="H69" s="344"/>
      <c r="I69" s="344"/>
      <c r="J69" s="233"/>
    </row>
    <row r="70" spans="1:28" ht="16" customHeight="1">
      <c r="A70" s="94"/>
      <c r="B70" s="65"/>
      <c r="C70" s="65"/>
      <c r="D70" s="68"/>
      <c r="E70" s="68"/>
      <c r="F70" s="70"/>
      <c r="G70" s="70"/>
      <c r="H70" s="70"/>
      <c r="I70" s="70"/>
      <c r="J70" s="234"/>
      <c r="K70" s="51" t="s">
        <v>130</v>
      </c>
    </row>
    <row r="71" spans="1:28" s="172" customFormat="1" ht="16" customHeight="1">
      <c r="A71" s="165"/>
      <c r="B71" s="342" t="s">
        <v>142</v>
      </c>
      <c r="C71" s="342"/>
      <c r="D71" s="166" t="s">
        <v>75</v>
      </c>
      <c r="E71" s="167">
        <v>16628200</v>
      </c>
      <c r="F71" s="168">
        <v>26.933799</v>
      </c>
      <c r="G71" s="168">
        <v>28.985384</v>
      </c>
      <c r="H71" s="168">
        <v>32.04713646430514</v>
      </c>
      <c r="I71" s="168">
        <v>33.718946908208942</v>
      </c>
      <c r="J71" s="235">
        <v>44.238493707042039</v>
      </c>
      <c r="K71" s="170">
        <v>42657425.104307085</v>
      </c>
      <c r="L71" s="171">
        <v>1035895.5527349598</v>
      </c>
      <c r="V71" s="170">
        <v>1000</v>
      </c>
    </row>
    <row r="72" spans="1:28" s="172" customFormat="1" ht="16" customHeight="1">
      <c r="A72" s="165"/>
      <c r="B72" s="346" t="s">
        <v>147</v>
      </c>
      <c r="C72" s="346"/>
      <c r="D72" s="166"/>
      <c r="E72" s="166"/>
      <c r="F72" s="166"/>
      <c r="G72" s="166"/>
      <c r="H72" s="173"/>
      <c r="I72" s="173"/>
      <c r="J72" s="236"/>
      <c r="O72" s="172" t="s">
        <v>128</v>
      </c>
      <c r="P72" s="172" t="s">
        <v>129</v>
      </c>
    </row>
    <row r="73" spans="1:28" s="172" customFormat="1" ht="16" customHeight="1">
      <c r="A73" s="165"/>
      <c r="B73" s="174"/>
      <c r="C73" s="175" t="s">
        <v>77</v>
      </c>
      <c r="D73" s="166" t="s">
        <v>78</v>
      </c>
      <c r="E73" s="167">
        <v>8147201</v>
      </c>
      <c r="F73" s="176">
        <v>11810.166999999999</v>
      </c>
      <c r="G73" s="177">
        <v>13739.771000000001</v>
      </c>
      <c r="H73" s="178">
        <v>15775.776391826712</v>
      </c>
      <c r="I73" s="178">
        <v>18479.176437448583</v>
      </c>
      <c r="J73" s="235">
        <v>24052.704859568374</v>
      </c>
      <c r="K73" s="171">
        <v>36964636.322910786</v>
      </c>
      <c r="L73" s="171">
        <v>822669.26880880725</v>
      </c>
      <c r="O73" s="170">
        <v>42657425.104307085</v>
      </c>
      <c r="P73" s="170">
        <v>1035895.5527349598</v>
      </c>
      <c r="R73" s="172">
        <v>11810167</v>
      </c>
      <c r="S73" s="172">
        <v>13739771</v>
      </c>
      <c r="T73" s="172">
        <v>15775776.391826712</v>
      </c>
      <c r="U73" s="172">
        <v>18479176.437448584</v>
      </c>
      <c r="V73" s="172">
        <v>24052704.859568372</v>
      </c>
      <c r="X73" s="169">
        <f>R73/$V$71</f>
        <v>11810.166999999999</v>
      </c>
      <c r="Y73" s="169">
        <f t="shared" ref="Y73:AB86" si="0">S73/$V$71</f>
        <v>13739.771000000001</v>
      </c>
      <c r="Z73" s="169">
        <f t="shared" si="0"/>
        <v>15775.776391826712</v>
      </c>
      <c r="AA73" s="169">
        <f t="shared" si="0"/>
        <v>18479.176437448583</v>
      </c>
      <c r="AB73" s="169">
        <f t="shared" si="0"/>
        <v>24052.704859568374</v>
      </c>
    </row>
    <row r="74" spans="1:28" s="172" customFormat="1" ht="16" customHeight="1">
      <c r="A74" s="165"/>
      <c r="B74" s="174"/>
      <c r="C74" s="175" t="s">
        <v>79</v>
      </c>
      <c r="D74" s="166" t="s">
        <v>80</v>
      </c>
      <c r="E74" s="167">
        <v>1693702</v>
      </c>
      <c r="F74" s="176">
        <v>1871.452</v>
      </c>
      <c r="G74" s="177">
        <v>2131.6819999999998</v>
      </c>
      <c r="H74" s="178">
        <v>2121.1530150186818</v>
      </c>
      <c r="I74" s="178">
        <v>2477.7273211125071</v>
      </c>
      <c r="J74" s="235">
        <v>3189.7703511031514</v>
      </c>
      <c r="K74" s="170">
        <v>10439384.208366439</v>
      </c>
      <c r="L74" s="172">
        <v>64060.678395618743</v>
      </c>
      <c r="O74" s="170">
        <v>11941519.569370689</v>
      </c>
      <c r="P74" s="172">
        <v>94298.672369869993</v>
      </c>
      <c r="R74" s="172">
        <v>1871452</v>
      </c>
      <c r="S74" s="172">
        <v>2131682</v>
      </c>
      <c r="T74" s="172">
        <v>2121153.015018682</v>
      </c>
      <c r="U74" s="172">
        <v>2477727.321112507</v>
      </c>
      <c r="V74" s="172">
        <v>3189770.3511031512</v>
      </c>
      <c r="X74" s="169">
        <f t="shared" ref="X74:X86" si="1">R74/$V$71</f>
        <v>1871.452</v>
      </c>
      <c r="Y74" s="169">
        <f t="shared" si="0"/>
        <v>2131.6819999999998</v>
      </c>
      <c r="Z74" s="169">
        <f t="shared" si="0"/>
        <v>2121.1530150186818</v>
      </c>
      <c r="AA74" s="169">
        <f t="shared" si="0"/>
        <v>2477.7273211125071</v>
      </c>
      <c r="AB74" s="169">
        <f t="shared" si="0"/>
        <v>3189.7703511031514</v>
      </c>
    </row>
    <row r="75" spans="1:28" s="172" customFormat="1" ht="16" customHeight="1">
      <c r="A75" s="165"/>
      <c r="B75" s="174"/>
      <c r="C75" s="175" t="s">
        <v>81</v>
      </c>
      <c r="D75" s="166" t="s">
        <v>82</v>
      </c>
      <c r="E75" s="167">
        <v>3505199</v>
      </c>
      <c r="F75" s="176">
        <v>5393.7579999999998</v>
      </c>
      <c r="G75" s="177">
        <v>5812.4049999999997</v>
      </c>
      <c r="H75" s="178">
        <v>7221.6003871997436</v>
      </c>
      <c r="I75" s="178">
        <v>7838.9008245647383</v>
      </c>
      <c r="J75" s="235">
        <v>9641.3681889552063</v>
      </c>
      <c r="K75" s="170">
        <v>9705765.4005398247</v>
      </c>
      <c r="L75" s="172">
        <v>436715.94739362597</v>
      </c>
      <c r="O75" s="170">
        <v>11337911.822639531</v>
      </c>
      <c r="P75" s="172">
        <v>513837.50827964995</v>
      </c>
      <c r="R75" s="172">
        <v>5393758</v>
      </c>
      <c r="S75" s="172">
        <v>5812405</v>
      </c>
      <c r="T75" s="172">
        <v>7221600.3871997437</v>
      </c>
      <c r="U75" s="172">
        <v>7838900.8245647382</v>
      </c>
      <c r="V75" s="172">
        <v>9641368.1889552064</v>
      </c>
      <c r="X75" s="169">
        <f t="shared" si="1"/>
        <v>5393.7579999999998</v>
      </c>
      <c r="Y75" s="169">
        <f t="shared" si="0"/>
        <v>5812.4049999999997</v>
      </c>
      <c r="Z75" s="169">
        <f t="shared" si="0"/>
        <v>7221.6003871997436</v>
      </c>
      <c r="AA75" s="169">
        <f t="shared" si="0"/>
        <v>7838.9008245647383</v>
      </c>
      <c r="AB75" s="169">
        <f t="shared" si="0"/>
        <v>9641.3681889552063</v>
      </c>
    </row>
    <row r="76" spans="1:28" s="172" customFormat="1" ht="16" customHeight="1">
      <c r="A76" s="165"/>
      <c r="B76" s="174"/>
      <c r="C76" s="175" t="s">
        <v>83</v>
      </c>
      <c r="D76" s="166">
        <v>729.19200000000001</v>
      </c>
      <c r="E76" s="167">
        <v>692384</v>
      </c>
      <c r="F76" s="176">
        <v>981.88199999999995</v>
      </c>
      <c r="G76" s="177">
        <v>957.71400000000006</v>
      </c>
      <c r="H76" s="178">
        <v>1063.7778494323345</v>
      </c>
      <c r="I76" s="178">
        <v>1241.3479837718087</v>
      </c>
      <c r="J76" s="235">
        <v>1319.7658676599906</v>
      </c>
      <c r="K76" s="170">
        <v>2282421.6057867827</v>
      </c>
      <c r="L76" s="172">
        <v>7892.7328573000013</v>
      </c>
      <c r="O76" s="170">
        <v>2632019.1452985662</v>
      </c>
      <c r="P76" s="172">
        <v>11457.934347300001</v>
      </c>
      <c r="R76" s="172">
        <v>981882</v>
      </c>
      <c r="S76" s="172">
        <v>957714</v>
      </c>
      <c r="T76" s="172">
        <v>1063777.8494323345</v>
      </c>
      <c r="U76" s="172">
        <v>1241347.9837718087</v>
      </c>
      <c r="V76" s="172">
        <v>1319765.8676599907</v>
      </c>
      <c r="X76" s="169">
        <f t="shared" si="1"/>
        <v>981.88199999999995</v>
      </c>
      <c r="Y76" s="169">
        <f t="shared" si="0"/>
        <v>957.71400000000006</v>
      </c>
      <c r="Z76" s="169">
        <f t="shared" si="0"/>
        <v>1063.7778494323345</v>
      </c>
      <c r="AA76" s="169">
        <f t="shared" si="0"/>
        <v>1241.3479837718087</v>
      </c>
      <c r="AB76" s="169">
        <f t="shared" si="0"/>
        <v>1319.7658676599906</v>
      </c>
    </row>
    <row r="77" spans="1:28" s="172" customFormat="1" ht="16" customHeight="1">
      <c r="A77" s="165"/>
      <c r="B77" s="174"/>
      <c r="C77" s="175" t="s">
        <v>84</v>
      </c>
      <c r="D77" s="166">
        <v>130.51599999999999</v>
      </c>
      <c r="E77" s="167">
        <v>182238</v>
      </c>
      <c r="F77" s="176">
        <v>242.03299999999999</v>
      </c>
      <c r="G77" s="177">
        <v>448.15499999999997</v>
      </c>
      <c r="H77" s="178">
        <v>381.48270510045535</v>
      </c>
      <c r="I77" s="178">
        <v>462.00614359973821</v>
      </c>
      <c r="J77" s="235">
        <v>471.09804052483781</v>
      </c>
      <c r="K77" s="170">
        <v>1308183.6017195066</v>
      </c>
      <c r="L77" s="172">
        <v>11632.773451999999</v>
      </c>
      <c r="O77" s="170">
        <v>1468593.247237945</v>
      </c>
      <c r="P77" s="172">
        <v>13822.694006</v>
      </c>
      <c r="R77" s="172">
        <v>242033</v>
      </c>
      <c r="S77" s="172">
        <v>448155</v>
      </c>
      <c r="T77" s="172">
        <v>381482.70510045532</v>
      </c>
      <c r="U77" s="172">
        <v>462006.14359973819</v>
      </c>
      <c r="V77" s="172">
        <v>471098.04052483779</v>
      </c>
      <c r="X77" s="169">
        <f t="shared" si="1"/>
        <v>242.03299999999999</v>
      </c>
      <c r="Y77" s="169">
        <f t="shared" si="0"/>
        <v>448.15499999999997</v>
      </c>
      <c r="Z77" s="169">
        <f t="shared" si="0"/>
        <v>381.48270510045535</v>
      </c>
      <c r="AA77" s="169">
        <f t="shared" si="0"/>
        <v>462.00614359973821</v>
      </c>
      <c r="AB77" s="169">
        <f t="shared" si="0"/>
        <v>471.09804052483781</v>
      </c>
    </row>
    <row r="78" spans="1:28" s="172" customFormat="1" ht="16" customHeight="1">
      <c r="A78" s="165"/>
      <c r="B78" s="174"/>
      <c r="C78" s="175" t="s">
        <v>85</v>
      </c>
      <c r="D78" s="166">
        <v>24.678999999999998</v>
      </c>
      <c r="E78" s="167">
        <v>31897</v>
      </c>
      <c r="F78" s="176">
        <v>57.987000000000002</v>
      </c>
      <c r="G78" s="177">
        <v>308.44799999999998</v>
      </c>
      <c r="H78" s="178">
        <v>94.007675417013829</v>
      </c>
      <c r="I78" s="178">
        <v>107.55996931757424</v>
      </c>
      <c r="J78" s="235">
        <v>94.908604383275929</v>
      </c>
      <c r="K78" s="170">
        <v>1337839.4024486798</v>
      </c>
      <c r="L78" s="172">
        <v>0</v>
      </c>
      <c r="O78" s="170">
        <v>1360640.8871552802</v>
      </c>
      <c r="P78" s="172">
        <v>0</v>
      </c>
      <c r="R78" s="172">
        <v>57987</v>
      </c>
      <c r="S78" s="172">
        <v>308448</v>
      </c>
      <c r="T78" s="172">
        <v>94007.67541701383</v>
      </c>
      <c r="U78" s="172">
        <v>107559.96931757424</v>
      </c>
      <c r="V78" s="172">
        <v>94908.604383275931</v>
      </c>
      <c r="X78" s="169">
        <f t="shared" si="1"/>
        <v>57.987000000000002</v>
      </c>
      <c r="Y78" s="169">
        <f t="shared" si="0"/>
        <v>308.44799999999998</v>
      </c>
      <c r="Z78" s="169">
        <f t="shared" si="0"/>
        <v>94.007675417013829</v>
      </c>
      <c r="AA78" s="169">
        <f t="shared" si="0"/>
        <v>107.55996931757424</v>
      </c>
      <c r="AB78" s="169">
        <f t="shared" si="0"/>
        <v>94.908604383275929</v>
      </c>
    </row>
    <row r="79" spans="1:28" s="172" customFormat="1" ht="16" customHeight="1">
      <c r="A79" s="165"/>
      <c r="B79" s="174"/>
      <c r="C79" s="175" t="s">
        <v>86</v>
      </c>
      <c r="D79" s="166">
        <v>12</v>
      </c>
      <c r="E79" s="167">
        <v>1</v>
      </c>
      <c r="F79" s="176">
        <v>0</v>
      </c>
      <c r="G79" s="177">
        <v>-3.7240000000000002</v>
      </c>
      <c r="H79" s="178">
        <v>0.39085830000000055</v>
      </c>
      <c r="I79" s="178">
        <v>11.912349981279998</v>
      </c>
      <c r="J79" s="235">
        <v>1.2365191034999985</v>
      </c>
      <c r="K79" s="170">
        <v>16136.4691035</v>
      </c>
      <c r="L79" s="172">
        <v>0</v>
      </c>
      <c r="O79" s="170">
        <v>17204.13594</v>
      </c>
      <c r="P79" s="172">
        <v>0</v>
      </c>
      <c r="R79" s="172">
        <v>0</v>
      </c>
      <c r="S79" s="172">
        <v>-3724</v>
      </c>
      <c r="T79" s="172">
        <v>390.85830000000055</v>
      </c>
      <c r="U79" s="172">
        <v>11912.349981279998</v>
      </c>
      <c r="V79" s="172">
        <v>1236.5191034999984</v>
      </c>
      <c r="X79" s="169">
        <f t="shared" si="1"/>
        <v>0</v>
      </c>
      <c r="Y79" s="169">
        <f t="shared" si="0"/>
        <v>-3.7240000000000002</v>
      </c>
      <c r="Z79" s="169">
        <f t="shared" si="0"/>
        <v>0.39085830000000055</v>
      </c>
      <c r="AA79" s="169">
        <f t="shared" si="0"/>
        <v>11.912349981279998</v>
      </c>
      <c r="AB79" s="169">
        <f t="shared" si="0"/>
        <v>1.2365191034999985</v>
      </c>
    </row>
    <row r="80" spans="1:28" s="172" customFormat="1" ht="16" customHeight="1">
      <c r="A80" s="165"/>
      <c r="B80" s="174"/>
      <c r="C80" s="175" t="s">
        <v>87</v>
      </c>
      <c r="D80" s="166">
        <v>41.987000000000002</v>
      </c>
      <c r="E80" s="167">
        <v>67015</v>
      </c>
      <c r="F80" s="176">
        <v>16.013999999999999</v>
      </c>
      <c r="G80" s="177">
        <v>-4.9820000000000002</v>
      </c>
      <c r="H80" s="178">
        <v>28.74980405228267</v>
      </c>
      <c r="I80" s="178">
        <v>32.097579676828012</v>
      </c>
      <c r="J80" s="235">
        <v>-42.944380766241721</v>
      </c>
      <c r="K80" s="170">
        <v>127705.69813404394</v>
      </c>
      <c r="L80" s="172">
        <v>661</v>
      </c>
      <c r="O80" s="170">
        <v>130014.77689264371</v>
      </c>
      <c r="P80" s="172">
        <v>730</v>
      </c>
      <c r="R80" s="172">
        <v>16014</v>
      </c>
      <c r="S80" s="172">
        <v>-4982</v>
      </c>
      <c r="T80" s="172">
        <v>28749.80405228267</v>
      </c>
      <c r="U80" s="172">
        <v>32097.579676828009</v>
      </c>
      <c r="V80" s="172">
        <v>-42944.380766241724</v>
      </c>
      <c r="X80" s="169">
        <f t="shared" si="1"/>
        <v>16.013999999999999</v>
      </c>
      <c r="Y80" s="169">
        <f t="shared" si="0"/>
        <v>-4.9820000000000002</v>
      </c>
      <c r="Z80" s="169">
        <f t="shared" si="0"/>
        <v>28.74980405228267</v>
      </c>
      <c r="AA80" s="169">
        <f t="shared" si="0"/>
        <v>32.097579676828012</v>
      </c>
      <c r="AB80" s="169">
        <f t="shared" si="0"/>
        <v>-42.944380766241721</v>
      </c>
    </row>
    <row r="81" spans="1:28" s="172" customFormat="1" ht="16" customHeight="1">
      <c r="A81" s="165"/>
      <c r="B81" s="174"/>
      <c r="C81" s="175" t="s">
        <v>88</v>
      </c>
      <c r="D81" s="166">
        <v>81.512</v>
      </c>
      <c r="E81" s="167">
        <v>96868</v>
      </c>
      <c r="F81" s="176">
        <v>127.57599999999999</v>
      </c>
      <c r="G81" s="177">
        <v>538.62300000000005</v>
      </c>
      <c r="H81" s="178">
        <v>77.526171615430087</v>
      </c>
      <c r="I81" s="178">
        <v>154.64988018309995</v>
      </c>
      <c r="J81" s="235">
        <v>153.27409512477567</v>
      </c>
      <c r="K81" s="170">
        <v>865508.19791591575</v>
      </c>
      <c r="L81" s="172">
        <v>0</v>
      </c>
      <c r="O81" s="170">
        <v>931242.25411992602</v>
      </c>
      <c r="P81" s="172">
        <v>0</v>
      </c>
      <c r="R81" s="172">
        <v>127576</v>
      </c>
      <c r="S81" s="172">
        <v>538623</v>
      </c>
      <c r="T81" s="172">
        <v>77526.171615430081</v>
      </c>
      <c r="U81" s="172">
        <v>154649.88018309994</v>
      </c>
      <c r="V81" s="172">
        <v>153274.09512477566</v>
      </c>
      <c r="X81" s="169">
        <f t="shared" si="1"/>
        <v>127.57599999999999</v>
      </c>
      <c r="Y81" s="169">
        <f t="shared" si="0"/>
        <v>538.62300000000005</v>
      </c>
      <c r="Z81" s="169">
        <f t="shared" si="0"/>
        <v>77.526171615430087</v>
      </c>
      <c r="AA81" s="169">
        <f t="shared" si="0"/>
        <v>154.64988018309995</v>
      </c>
      <c r="AB81" s="169">
        <f t="shared" si="0"/>
        <v>153.27409512477567</v>
      </c>
    </row>
    <row r="82" spans="1:28" s="172" customFormat="1" ht="16" customHeight="1">
      <c r="A82" s="165"/>
      <c r="B82" s="174"/>
      <c r="C82" s="175" t="s">
        <v>89</v>
      </c>
      <c r="D82" s="166">
        <v>175.011</v>
      </c>
      <c r="E82" s="167">
        <v>190518</v>
      </c>
      <c r="F82" s="176">
        <v>254.62299999999999</v>
      </c>
      <c r="G82" s="177">
        <v>291.92200000000003</v>
      </c>
      <c r="H82" s="178">
        <v>262.60670857081874</v>
      </c>
      <c r="I82" s="178">
        <v>361.05263173674632</v>
      </c>
      <c r="J82" s="235">
        <v>420.32332947342763</v>
      </c>
      <c r="K82" s="170">
        <v>1239340.5386247821</v>
      </c>
      <c r="L82" s="172">
        <v>13262.176609450002</v>
      </c>
      <c r="O82" s="170">
        <v>1405046.8862547753</v>
      </c>
      <c r="P82" s="172">
        <v>16630.158746450001</v>
      </c>
      <c r="R82" s="172">
        <v>254623</v>
      </c>
      <c r="S82" s="172">
        <v>291922</v>
      </c>
      <c r="T82" s="172">
        <v>262606.70857081877</v>
      </c>
      <c r="U82" s="172">
        <v>361052.63173674635</v>
      </c>
      <c r="V82" s="172">
        <v>420323.32947342761</v>
      </c>
      <c r="X82" s="169">
        <f t="shared" si="1"/>
        <v>254.62299999999999</v>
      </c>
      <c r="Y82" s="169">
        <f t="shared" si="0"/>
        <v>291.92200000000003</v>
      </c>
      <c r="Z82" s="169">
        <f t="shared" si="0"/>
        <v>262.60670857081874</v>
      </c>
      <c r="AA82" s="169">
        <f t="shared" si="0"/>
        <v>361.05263173674632</v>
      </c>
      <c r="AB82" s="169">
        <f t="shared" si="0"/>
        <v>420.32332947342763</v>
      </c>
    </row>
    <row r="83" spans="1:28" s="172" customFormat="1" ht="16" customHeight="1">
      <c r="A83" s="165"/>
      <c r="B83" s="174"/>
      <c r="C83" s="175" t="s">
        <v>90</v>
      </c>
      <c r="D83" s="166">
        <v>62.283999999999999</v>
      </c>
      <c r="E83" s="167">
        <v>80172</v>
      </c>
      <c r="F83" s="176">
        <v>110.78700000000001</v>
      </c>
      <c r="G83" s="177">
        <v>200.422</v>
      </c>
      <c r="H83" s="178">
        <v>151.85545649794372</v>
      </c>
      <c r="I83" s="178">
        <v>159.84359799251851</v>
      </c>
      <c r="J83" s="235">
        <v>174.82544729313503</v>
      </c>
      <c r="K83" s="170">
        <v>651792.30730213877</v>
      </c>
      <c r="L83" s="172">
        <v>-23557.01</v>
      </c>
      <c r="O83" s="170">
        <v>712292.3766993538</v>
      </c>
      <c r="P83" s="172">
        <v>2707.29</v>
      </c>
      <c r="R83" s="172">
        <v>110787</v>
      </c>
      <c r="S83" s="172">
        <v>200422</v>
      </c>
      <c r="T83" s="172">
        <v>151855.45649794373</v>
      </c>
      <c r="U83" s="172">
        <v>159843.59799251851</v>
      </c>
      <c r="V83" s="172">
        <v>174825.44729313502</v>
      </c>
      <c r="X83" s="169">
        <f t="shared" si="1"/>
        <v>110.78700000000001</v>
      </c>
      <c r="Y83" s="169">
        <f t="shared" si="0"/>
        <v>200.422</v>
      </c>
      <c r="Z83" s="169">
        <f t="shared" si="0"/>
        <v>151.85545649794372</v>
      </c>
      <c r="AA83" s="169">
        <f t="shared" si="0"/>
        <v>159.84359799251851</v>
      </c>
      <c r="AB83" s="169">
        <f t="shared" si="0"/>
        <v>174.82544729313503</v>
      </c>
    </row>
    <row r="84" spans="1:28" s="172" customFormat="1" ht="16" customHeight="1">
      <c r="A84" s="165"/>
      <c r="B84" s="174"/>
      <c r="C84" s="175" t="s">
        <v>91</v>
      </c>
      <c r="D84" s="166">
        <v>614.28300000000002</v>
      </c>
      <c r="E84" s="167">
        <v>791096</v>
      </c>
      <c r="F84" s="176">
        <v>1329.124</v>
      </c>
      <c r="G84" s="177">
        <v>1901.99</v>
      </c>
      <c r="H84" s="178">
        <v>2573.9646446534589</v>
      </c>
      <c r="I84" s="178">
        <v>3133.2583951566185</v>
      </c>
      <c r="J84" s="235">
        <v>4316.8877260314994</v>
      </c>
      <c r="K84" s="170">
        <v>4871884.4846875779</v>
      </c>
      <c r="L84" s="172">
        <v>81950.853620812515</v>
      </c>
      <c r="O84" s="170">
        <v>5902457.5794095825</v>
      </c>
      <c r="P84" s="172">
        <v>123739.15499669001</v>
      </c>
      <c r="R84" s="172">
        <v>1329124</v>
      </c>
      <c r="S84" s="172">
        <v>1901990</v>
      </c>
      <c r="T84" s="172">
        <v>2573964.6446534591</v>
      </c>
      <c r="U84" s="172">
        <v>3133258.3951566187</v>
      </c>
      <c r="V84" s="172">
        <v>4316887.726031499</v>
      </c>
      <c r="X84" s="169">
        <f t="shared" si="1"/>
        <v>1329.124</v>
      </c>
      <c r="Y84" s="169">
        <f t="shared" si="0"/>
        <v>1901.99</v>
      </c>
      <c r="Z84" s="169">
        <f t="shared" si="0"/>
        <v>2573.9646446534589</v>
      </c>
      <c r="AA84" s="169">
        <f t="shared" si="0"/>
        <v>3133.2583951566185</v>
      </c>
      <c r="AB84" s="169">
        <f t="shared" si="0"/>
        <v>4316.8877260314994</v>
      </c>
    </row>
    <row r="85" spans="1:28" s="172" customFormat="1" ht="16" customHeight="1">
      <c r="A85" s="165"/>
      <c r="B85" s="174"/>
      <c r="C85" s="175" t="s">
        <v>92</v>
      </c>
      <c r="D85" s="166">
        <v>246.773</v>
      </c>
      <c r="E85" s="167">
        <v>312311</v>
      </c>
      <c r="F85" s="179">
        <v>583.21500000000003</v>
      </c>
      <c r="G85" s="177">
        <v>388.90600000000001</v>
      </c>
      <c r="H85" s="178">
        <v>663.4641623297864</v>
      </c>
      <c r="I85" s="178">
        <v>1014.9420116103066</v>
      </c>
      <c r="J85" s="235">
        <v>1238.051059158696</v>
      </c>
      <c r="K85" s="170">
        <v>1545120.2486679771</v>
      </c>
      <c r="L85" s="172">
        <v>4536.45</v>
      </c>
      <c r="O85" s="170">
        <v>1656082.8586216327</v>
      </c>
      <c r="P85" s="172">
        <v>4536.45</v>
      </c>
      <c r="R85" s="172">
        <v>583215</v>
      </c>
      <c r="S85" s="172">
        <v>388906</v>
      </c>
      <c r="T85" s="172">
        <v>663464.16232978646</v>
      </c>
      <c r="U85" s="172">
        <v>1014942.0116103066</v>
      </c>
      <c r="V85" s="172">
        <v>1238051.0591586961</v>
      </c>
      <c r="X85" s="169">
        <f t="shared" si="1"/>
        <v>583.21500000000003</v>
      </c>
      <c r="Y85" s="169">
        <f t="shared" si="0"/>
        <v>388.90600000000001</v>
      </c>
      <c r="Z85" s="169">
        <f t="shared" si="0"/>
        <v>663.4641623297864</v>
      </c>
      <c r="AA85" s="169">
        <f t="shared" si="0"/>
        <v>1014.9420116103066</v>
      </c>
      <c r="AB85" s="169">
        <f t="shared" si="0"/>
        <v>1238.051059158696</v>
      </c>
    </row>
    <row r="86" spans="1:28" s="172" customFormat="1" ht="16" customHeight="1">
      <c r="A86" s="165"/>
      <c r="B86" s="174"/>
      <c r="C86" s="175" t="s">
        <v>93</v>
      </c>
      <c r="D86" s="166">
        <v>418.43</v>
      </c>
      <c r="E86" s="180">
        <v>503.8</v>
      </c>
      <c r="F86" s="168">
        <v>0.84171799999999997</v>
      </c>
      <c r="G86" s="181">
        <v>0.76821099999999998</v>
      </c>
      <c r="H86" s="178">
        <v>1135.1969536387612</v>
      </c>
      <c r="I86" s="178">
        <v>1483.877748744819</v>
      </c>
      <c r="J86" s="235">
        <v>717.0932929976841</v>
      </c>
      <c r="K86" s="170">
        <v>2573554.1596136279</v>
      </c>
      <c r="L86" s="172">
        <v>225513.66648000001</v>
      </c>
      <c r="O86" s="170">
        <v>3162399.5646671555</v>
      </c>
      <c r="P86" s="172">
        <v>254135.68998900001</v>
      </c>
      <c r="R86" s="172">
        <v>841.71799999999996</v>
      </c>
      <c r="S86" s="172">
        <v>768.21100000000001</v>
      </c>
      <c r="T86" s="172">
        <v>1135196.9536387613</v>
      </c>
      <c r="U86" s="172">
        <v>1483877.7487448191</v>
      </c>
      <c r="V86" s="172">
        <v>717093.2929976841</v>
      </c>
      <c r="X86" s="169">
        <f t="shared" si="1"/>
        <v>0.84171799999999997</v>
      </c>
      <c r="Y86" s="169">
        <f t="shared" si="0"/>
        <v>0.76821099999999998</v>
      </c>
      <c r="Z86" s="169">
        <f t="shared" si="0"/>
        <v>1135.1969536387612</v>
      </c>
      <c r="AA86" s="169">
        <f t="shared" si="0"/>
        <v>1483.877748744819</v>
      </c>
      <c r="AB86" s="169">
        <f t="shared" si="0"/>
        <v>717.0932929976841</v>
      </c>
    </row>
    <row r="87" spans="1:28" s="172" customFormat="1" ht="16" customHeight="1">
      <c r="A87" s="165"/>
      <c r="B87" s="174"/>
      <c r="C87" s="174"/>
      <c r="D87" s="166"/>
      <c r="E87" s="166"/>
      <c r="F87" s="166"/>
      <c r="G87" s="166"/>
      <c r="H87" s="173"/>
      <c r="I87" s="173"/>
      <c r="J87" s="236"/>
    </row>
    <row r="88" spans="1:28" s="172" customFormat="1" ht="16" customHeight="1">
      <c r="A88" s="165"/>
      <c r="B88" s="342" t="s">
        <v>94</v>
      </c>
      <c r="C88" s="342"/>
      <c r="D88" s="182">
        <v>0.43</v>
      </c>
      <c r="E88" s="182">
        <v>0.49</v>
      </c>
      <c r="F88" s="182">
        <v>0.44</v>
      </c>
      <c r="G88" s="182">
        <v>0.5</v>
      </c>
      <c r="H88" s="183">
        <v>0.4922678944934174</v>
      </c>
      <c r="I88" s="183">
        <f>+I73/I71</f>
        <v>548.03539647170271</v>
      </c>
      <c r="J88" s="237">
        <v>0.54370533090143569</v>
      </c>
    </row>
    <row r="89" spans="1:28" s="172" customFormat="1" ht="16" customHeight="1">
      <c r="A89" s="165"/>
      <c r="B89" s="174"/>
      <c r="C89" s="174"/>
      <c r="D89" s="166"/>
      <c r="E89" s="166"/>
      <c r="F89" s="166"/>
      <c r="G89" s="166"/>
      <c r="H89" s="173"/>
      <c r="I89" s="173"/>
      <c r="J89" s="236"/>
    </row>
    <row r="90" spans="1:28" s="172" customFormat="1" ht="16" customHeight="1">
      <c r="A90" s="165"/>
      <c r="B90" s="342" t="s">
        <v>95</v>
      </c>
      <c r="C90" s="342"/>
      <c r="D90" s="166"/>
      <c r="E90" s="166"/>
      <c r="F90" s="166"/>
      <c r="G90" s="166"/>
      <c r="H90" s="173"/>
      <c r="I90" s="173"/>
      <c r="J90" s="236"/>
    </row>
    <row r="91" spans="1:28" s="172" customFormat="1" ht="16" customHeight="1">
      <c r="A91" s="165"/>
      <c r="B91" s="174"/>
      <c r="C91" s="175" t="s">
        <v>77</v>
      </c>
      <c r="D91" s="166">
        <v>52.83</v>
      </c>
      <c r="E91" s="166">
        <v>57.82</v>
      </c>
      <c r="F91" s="166">
        <v>36.81</v>
      </c>
      <c r="G91" s="184">
        <v>42.48</v>
      </c>
      <c r="H91" s="185">
        <v>43.007811793064043</v>
      </c>
      <c r="I91" s="186">
        <f>+'[2]GP Konv'!D62</f>
        <v>38.187196805965435</v>
      </c>
      <c r="J91" s="238">
        <v>56.358552163691755</v>
      </c>
    </row>
    <row r="92" spans="1:28" s="172" customFormat="1" ht="16" customHeight="1">
      <c r="A92" s="165"/>
      <c r="B92" s="174"/>
      <c r="C92" s="175" t="s">
        <v>79</v>
      </c>
      <c r="D92" s="166">
        <v>41.18</v>
      </c>
      <c r="E92" s="166">
        <v>55.52</v>
      </c>
      <c r="F92" s="188">
        <v>33.26</v>
      </c>
      <c r="G92" s="184">
        <v>41.18</v>
      </c>
      <c r="H92" s="185">
        <v>48.110305445170361</v>
      </c>
      <c r="I92" s="186">
        <v>35.497808236944465</v>
      </c>
      <c r="J92" s="238">
        <v>47.294153448836099</v>
      </c>
    </row>
    <row r="93" spans="1:28" s="172" customFormat="1" ht="16" customHeight="1">
      <c r="A93" s="165"/>
      <c r="B93" s="174"/>
      <c r="C93" s="175" t="s">
        <v>81</v>
      </c>
      <c r="D93" s="166">
        <v>66.84</v>
      </c>
      <c r="E93" s="166">
        <v>70.069999999999993</v>
      </c>
      <c r="F93" s="188">
        <v>46.5</v>
      </c>
      <c r="G93" s="184">
        <v>49.45</v>
      </c>
      <c r="H93" s="185">
        <v>46.383851261374126</v>
      </c>
      <c r="I93" s="186">
        <v>46.47294505934186</v>
      </c>
      <c r="J93" s="238">
        <v>62.137108665988464</v>
      </c>
    </row>
    <row r="94" spans="1:28" s="172" customFormat="1" ht="16" customHeight="1">
      <c r="A94" s="165"/>
      <c r="B94" s="174"/>
      <c r="C94" s="175" t="s">
        <v>83</v>
      </c>
      <c r="D94" s="166">
        <v>29.15</v>
      </c>
      <c r="E94" s="166">
        <v>29.88</v>
      </c>
      <c r="F94" s="188">
        <v>31.99</v>
      </c>
      <c r="G94" s="184">
        <v>39.72</v>
      </c>
      <c r="H94" s="185">
        <v>32.012525144834761</v>
      </c>
      <c r="I94" s="186">
        <v>31.219899862968298</v>
      </c>
      <c r="J94" s="238">
        <v>33.981201438344129</v>
      </c>
    </row>
    <row r="95" spans="1:28" s="172" customFormat="1" ht="16" customHeight="1">
      <c r="A95" s="165"/>
      <c r="B95" s="174"/>
      <c r="C95" s="175" t="s">
        <v>84</v>
      </c>
      <c r="D95" s="166">
        <v>82.29</v>
      </c>
      <c r="E95" s="166">
        <v>33.270000000000003</v>
      </c>
      <c r="F95" s="188">
        <v>39.840000000000003</v>
      </c>
      <c r="G95" s="184">
        <v>53.18</v>
      </c>
      <c r="H95" s="185">
        <v>32.795234178417687</v>
      </c>
      <c r="I95" s="186">
        <v>31.152632754810917</v>
      </c>
      <c r="J95" s="238">
        <v>56.230622826186874</v>
      </c>
    </row>
    <row r="96" spans="1:28" s="172" customFormat="1" ht="16" customHeight="1">
      <c r="A96" s="165"/>
      <c r="B96" s="174"/>
      <c r="C96" s="175" t="s">
        <v>85</v>
      </c>
      <c r="D96" s="166">
        <v>89.12</v>
      </c>
      <c r="E96" s="166">
        <v>45.21</v>
      </c>
      <c r="F96" s="188">
        <v>64.84</v>
      </c>
      <c r="G96" s="184">
        <v>71.78</v>
      </c>
      <c r="H96" s="185">
        <v>18.49132024289657</v>
      </c>
      <c r="I96" s="186">
        <v>21.996330806514123</v>
      </c>
      <c r="J96" s="238">
        <v>55.163921106840007</v>
      </c>
    </row>
    <row r="97" spans="1:22" s="172" customFormat="1" ht="16" customHeight="1">
      <c r="A97" s="165"/>
      <c r="B97" s="174"/>
      <c r="C97" s="175" t="s">
        <v>86</v>
      </c>
      <c r="D97" s="166" t="s">
        <v>96</v>
      </c>
      <c r="E97" s="167">
        <v>110967</v>
      </c>
      <c r="F97" s="189">
        <v>0</v>
      </c>
      <c r="G97" s="190">
        <v>0</v>
      </c>
      <c r="H97" s="185">
        <v>0</v>
      </c>
      <c r="I97" s="186">
        <f>+'[2]GP Konv'!D53</f>
        <v>54.063439138232049</v>
      </c>
      <c r="J97" s="238">
        <v>236.77960103590129</v>
      </c>
    </row>
    <row r="98" spans="1:22" s="172" customFormat="1" ht="16" customHeight="1">
      <c r="A98" s="165"/>
      <c r="B98" s="174"/>
      <c r="C98" s="175" t="s">
        <v>87</v>
      </c>
      <c r="D98" s="166">
        <v>12.94</v>
      </c>
      <c r="E98" s="167">
        <v>153624</v>
      </c>
      <c r="F98" s="188">
        <v>14.34</v>
      </c>
      <c r="G98" s="184">
        <v>12.28</v>
      </c>
      <c r="H98" s="185">
        <v>40.56323221397453</v>
      </c>
      <c r="I98" s="186">
        <v>44.208690861981268</v>
      </c>
      <c r="J98" s="238">
        <v>-2.7576639566778827</v>
      </c>
    </row>
    <row r="99" spans="1:22" s="172" customFormat="1" ht="16" customHeight="1">
      <c r="A99" s="165"/>
      <c r="B99" s="174"/>
      <c r="C99" s="175" t="s">
        <v>88</v>
      </c>
      <c r="D99" s="166">
        <v>15</v>
      </c>
      <c r="E99" s="166">
        <v>9.85</v>
      </c>
      <c r="F99" s="188">
        <v>15.54</v>
      </c>
      <c r="G99" s="184">
        <v>8.31</v>
      </c>
      <c r="H99" s="185">
        <v>33.567979540617408</v>
      </c>
      <c r="I99" s="186">
        <v>13.967788739861339</v>
      </c>
      <c r="J99" s="238">
        <v>10.465639205757057</v>
      </c>
    </row>
    <row r="100" spans="1:22" s="172" customFormat="1" ht="16" customHeight="1">
      <c r="A100" s="165"/>
      <c r="B100" s="174"/>
      <c r="C100" s="175" t="s">
        <v>97</v>
      </c>
      <c r="D100" s="166">
        <v>55.51</v>
      </c>
      <c r="E100" s="166">
        <v>85.64</v>
      </c>
      <c r="F100" s="188">
        <v>28.93</v>
      </c>
      <c r="G100" s="184">
        <v>39.090000000000003</v>
      </c>
      <c r="H100" s="185">
        <v>46.376405173635277</v>
      </c>
      <c r="I100" s="186">
        <v>34.458443043840944</v>
      </c>
      <c r="J100" s="238">
        <v>60.743995415879922</v>
      </c>
    </row>
    <row r="101" spans="1:22" s="172" customFormat="1" ht="16" customHeight="1">
      <c r="A101" s="165"/>
      <c r="B101" s="174"/>
      <c r="C101" s="175" t="s">
        <v>90</v>
      </c>
      <c r="D101" s="166">
        <v>17.010000000000002</v>
      </c>
      <c r="E101" s="166">
        <v>8.64</v>
      </c>
      <c r="F101" s="188">
        <v>15.76</v>
      </c>
      <c r="G101" s="184">
        <v>3.55</v>
      </c>
      <c r="H101" s="185">
        <v>7.272288101341899</v>
      </c>
      <c r="I101" s="186">
        <v>9.3848257403027553</v>
      </c>
      <c r="J101" s="238">
        <v>17.755394769992659</v>
      </c>
    </row>
    <row r="102" spans="1:22" s="172" customFormat="1" ht="16" customHeight="1">
      <c r="A102" s="165"/>
      <c r="B102" s="174"/>
      <c r="C102" s="175" t="s">
        <v>98</v>
      </c>
      <c r="D102" s="166">
        <v>64.19</v>
      </c>
      <c r="E102" s="166">
        <v>50.15</v>
      </c>
      <c r="F102" s="188">
        <v>45.58</v>
      </c>
      <c r="G102" s="184">
        <v>45.46</v>
      </c>
      <c r="H102" s="185">
        <v>48.328890512538862</v>
      </c>
      <c r="I102" s="186">
        <v>50.481210361188708</v>
      </c>
      <c r="J102" s="238">
        <v>60.426819542015366</v>
      </c>
    </row>
    <row r="103" spans="1:22" s="172" customFormat="1" ht="16" customHeight="1">
      <c r="A103" s="165"/>
      <c r="B103" s="174"/>
      <c r="C103" s="175" t="s">
        <v>99</v>
      </c>
      <c r="D103" s="166">
        <v>14.93</v>
      </c>
      <c r="E103" s="166">
        <v>22.26</v>
      </c>
      <c r="F103" s="166">
        <v>34.57</v>
      </c>
      <c r="G103" s="184">
        <v>137.26</v>
      </c>
      <c r="H103" s="185">
        <v>154.81356515456247</v>
      </c>
      <c r="I103" s="186">
        <f>+I104+I105</f>
        <v>65.958271777213895</v>
      </c>
      <c r="J103" s="238">
        <v>55.747702301638682</v>
      </c>
    </row>
    <row r="104" spans="1:22" s="172" customFormat="1" ht="16" customHeight="1">
      <c r="A104" s="191"/>
      <c r="B104" s="174"/>
      <c r="C104" s="175" t="s">
        <v>100</v>
      </c>
      <c r="D104" s="166">
        <v>18.57</v>
      </c>
      <c r="E104" s="166">
        <v>30.3</v>
      </c>
      <c r="F104" s="166">
        <v>22.15</v>
      </c>
      <c r="G104" s="184">
        <v>122.1</v>
      </c>
      <c r="H104" s="185">
        <v>139.85301803188639</v>
      </c>
      <c r="I104" s="186">
        <v>51.514460165198258</v>
      </c>
      <c r="J104" s="238">
        <v>26.361476002132473</v>
      </c>
    </row>
    <row r="105" spans="1:22" s="172" customFormat="1" ht="16" customHeight="1">
      <c r="A105" s="191"/>
      <c r="B105" s="174"/>
      <c r="C105" s="175" t="s">
        <v>101</v>
      </c>
      <c r="D105" s="166">
        <v>12.62</v>
      </c>
      <c r="E105" s="166">
        <v>18.28</v>
      </c>
      <c r="F105" s="166">
        <v>12.42</v>
      </c>
      <c r="G105" s="184">
        <v>15.16</v>
      </c>
      <c r="H105" s="185">
        <v>14.960547122676079</v>
      </c>
      <c r="I105" s="186">
        <v>14.443811612015633</v>
      </c>
      <c r="J105" s="238">
        <v>39.596641260398961</v>
      </c>
    </row>
    <row r="106" spans="1:22" s="172" customFormat="1" ht="16" customHeight="1" thickBot="1">
      <c r="A106" s="192"/>
      <c r="B106" s="193"/>
      <c r="C106" s="194" t="s">
        <v>93</v>
      </c>
      <c r="D106" s="195">
        <v>43.51</v>
      </c>
      <c r="E106" s="195">
        <v>56.27</v>
      </c>
      <c r="F106" s="195">
        <v>28.42</v>
      </c>
      <c r="G106" s="196">
        <v>31.85</v>
      </c>
      <c r="H106" s="197">
        <v>29.593593737786811</v>
      </c>
      <c r="I106" s="198">
        <v>38.187196805965435</v>
      </c>
      <c r="J106" s="239">
        <v>54.172925092790059</v>
      </c>
    </row>
    <row r="107" spans="1:22" s="172" customFormat="1" ht="16" customHeight="1">
      <c r="A107" s="199"/>
      <c r="B107" s="200"/>
      <c r="C107" s="201"/>
      <c r="D107" s="202"/>
      <c r="E107" s="202"/>
      <c r="F107" s="202"/>
      <c r="G107" s="203"/>
      <c r="H107" s="204"/>
      <c r="I107" s="205"/>
      <c r="J107" s="240"/>
    </row>
    <row r="108" spans="1:22" s="172" customFormat="1" ht="16" customHeight="1">
      <c r="G108" s="206"/>
      <c r="H108" s="207"/>
      <c r="I108" s="207"/>
      <c r="J108" s="241"/>
    </row>
    <row r="109" spans="1:22" s="172" customFormat="1" ht="16" customHeight="1" thickBot="1">
      <c r="A109" s="343" t="s">
        <v>133</v>
      </c>
      <c r="B109" s="343"/>
      <c r="C109" s="343"/>
      <c r="D109" s="343"/>
      <c r="E109" s="343"/>
      <c r="F109" s="343"/>
      <c r="G109" s="343"/>
      <c r="H109" s="207"/>
      <c r="I109" s="207"/>
      <c r="J109" s="241"/>
    </row>
    <row r="110" spans="1:22" s="172" customFormat="1" ht="16" customHeight="1" thickTop="1" thickBot="1">
      <c r="A110" s="208"/>
      <c r="B110" s="208"/>
      <c r="C110" s="209"/>
      <c r="D110" s="209">
        <v>-2</v>
      </c>
      <c r="E110" s="209">
        <v>-3</v>
      </c>
      <c r="F110" s="210">
        <v>2008</v>
      </c>
      <c r="G110" s="210">
        <v>2009</v>
      </c>
      <c r="H110" s="210">
        <v>2010</v>
      </c>
      <c r="I110" s="210">
        <v>2011</v>
      </c>
      <c r="J110" s="252">
        <v>2012</v>
      </c>
      <c r="Q110" s="172">
        <v>1000000</v>
      </c>
    </row>
    <row r="111" spans="1:22" s="172" customFormat="1" ht="16" customHeight="1" thickTop="1">
      <c r="A111" s="211"/>
      <c r="B111" s="211"/>
      <c r="C111" s="212" t="s">
        <v>143</v>
      </c>
      <c r="D111" s="213"/>
      <c r="E111" s="213"/>
      <c r="F111" s="213"/>
      <c r="G111" s="213"/>
      <c r="H111" s="214"/>
      <c r="I111" s="214"/>
      <c r="J111" s="236"/>
    </row>
    <row r="112" spans="1:22" s="172" customFormat="1" ht="16" customHeight="1">
      <c r="A112" s="191"/>
      <c r="B112" s="191"/>
      <c r="C112" s="175" t="s">
        <v>102</v>
      </c>
      <c r="D112" s="166" t="s">
        <v>78</v>
      </c>
      <c r="E112" s="167">
        <v>7933341</v>
      </c>
      <c r="F112" s="187">
        <v>10.927054999999999</v>
      </c>
      <c r="G112" s="187">
        <v>13.316115999999999</v>
      </c>
      <c r="H112" s="187">
        <v>27.651636830194484</v>
      </c>
      <c r="I112" s="187">
        <v>32.721794155585798</v>
      </c>
      <c r="J112" s="238">
        <v>21.320391248411589</v>
      </c>
      <c r="L112" s="172">
        <v>10927055</v>
      </c>
      <c r="M112" s="172">
        <v>13316116</v>
      </c>
      <c r="N112" s="172">
        <v>27651636.830194484</v>
      </c>
      <c r="O112" s="172">
        <v>32721794.155585796</v>
      </c>
      <c r="P112" s="172">
        <v>21320391.248411588</v>
      </c>
      <c r="R112" s="187">
        <f>L112/$Q$110</f>
        <v>10.927054999999999</v>
      </c>
      <c r="S112" s="187">
        <f t="shared" ref="S112:V123" si="2">M112/$Q$110</f>
        <v>13.316115999999999</v>
      </c>
      <c r="T112" s="187">
        <f t="shared" si="2"/>
        <v>27.651636830194484</v>
      </c>
      <c r="U112" s="187">
        <f t="shared" si="2"/>
        <v>32.721794155585798</v>
      </c>
      <c r="V112" s="187">
        <f t="shared" si="2"/>
        <v>21.320391248411589</v>
      </c>
    </row>
    <row r="113" spans="1:22" s="172" customFormat="1" ht="16" customHeight="1">
      <c r="A113" s="191"/>
      <c r="B113" s="191"/>
      <c r="C113" s="175" t="s">
        <v>103</v>
      </c>
      <c r="D113" s="166" t="s">
        <v>104</v>
      </c>
      <c r="E113" s="167">
        <v>4587116</v>
      </c>
      <c r="F113" s="187">
        <v>6.3625249999999998</v>
      </c>
      <c r="G113" s="187">
        <v>9.6579289999999993</v>
      </c>
      <c r="H113" s="187">
        <v>13.913851316816478</v>
      </c>
      <c r="I113" s="187">
        <v>14.647129619695242</v>
      </c>
      <c r="J113" s="238">
        <v>13.935242832751573</v>
      </c>
      <c r="L113" s="172">
        <v>6362525</v>
      </c>
      <c r="M113" s="172">
        <v>9657929</v>
      </c>
      <c r="N113" s="172">
        <v>13913851.316816479</v>
      </c>
      <c r="O113" s="172">
        <v>14647129.619695242</v>
      </c>
      <c r="P113" s="172">
        <v>13935242.832751574</v>
      </c>
      <c r="R113" s="187">
        <f t="shared" ref="R113:R123" si="3">L113/$Q$110</f>
        <v>6.3625249999999998</v>
      </c>
      <c r="S113" s="187">
        <f t="shared" si="2"/>
        <v>9.6579289999999993</v>
      </c>
      <c r="T113" s="187">
        <f t="shared" si="2"/>
        <v>13.913851316816478</v>
      </c>
      <c r="U113" s="187">
        <f t="shared" si="2"/>
        <v>14.647129619695242</v>
      </c>
      <c r="V113" s="187">
        <f t="shared" si="2"/>
        <v>13.935242832751573</v>
      </c>
    </row>
    <row r="114" spans="1:22" s="172" customFormat="1" ht="16" customHeight="1">
      <c r="A114" s="191"/>
      <c r="B114" s="191"/>
      <c r="C114" s="175" t="s">
        <v>105</v>
      </c>
      <c r="D114" s="166" t="s">
        <v>106</v>
      </c>
      <c r="E114" s="167">
        <v>1639772</v>
      </c>
      <c r="F114" s="187">
        <v>1.9062939999999999</v>
      </c>
      <c r="G114" s="187">
        <v>2.1588850000000002</v>
      </c>
      <c r="H114" s="187">
        <v>4.3954996341106574</v>
      </c>
      <c r="I114" s="187">
        <v>4.870909579404171</v>
      </c>
      <c r="J114" s="238">
        <v>3.2790554876669264</v>
      </c>
      <c r="L114" s="172">
        <v>1906294</v>
      </c>
      <c r="M114" s="172">
        <v>2158885</v>
      </c>
      <c r="N114" s="172">
        <v>4395499.6341106575</v>
      </c>
      <c r="O114" s="172">
        <v>4870909.5794041706</v>
      </c>
      <c r="P114" s="172">
        <v>3279055.4876669263</v>
      </c>
      <c r="R114" s="187">
        <f t="shared" si="3"/>
        <v>1.9062939999999999</v>
      </c>
      <c r="S114" s="187">
        <f t="shared" si="2"/>
        <v>2.1588850000000002</v>
      </c>
      <c r="T114" s="187">
        <f t="shared" si="2"/>
        <v>4.3954996341106574</v>
      </c>
      <c r="U114" s="187">
        <f t="shared" si="2"/>
        <v>4.870909579404171</v>
      </c>
      <c r="V114" s="187">
        <f t="shared" si="2"/>
        <v>3.2790554876669264</v>
      </c>
    </row>
    <row r="115" spans="1:22" s="172" customFormat="1" ht="16" customHeight="1">
      <c r="A115" s="191"/>
      <c r="B115" s="191"/>
      <c r="C115" s="175" t="s">
        <v>107</v>
      </c>
      <c r="D115" s="166" t="s">
        <v>108</v>
      </c>
      <c r="E115" s="167">
        <v>3201413</v>
      </c>
      <c r="F115" s="187">
        <v>4.3364120000000002</v>
      </c>
      <c r="G115" s="187">
        <v>3.658188</v>
      </c>
      <c r="H115" s="187">
        <v>5.3384516921022369</v>
      </c>
      <c r="I115" s="187">
        <v>3.8099182702826582</v>
      </c>
      <c r="J115" s="238">
        <v>8.5053919376339771</v>
      </c>
      <c r="L115" s="172">
        <v>4336412</v>
      </c>
      <c r="M115" s="172">
        <v>3658188</v>
      </c>
      <c r="N115" s="172">
        <v>5338451.6921022367</v>
      </c>
      <c r="O115" s="172">
        <v>3809918.2702826583</v>
      </c>
      <c r="P115" s="172">
        <v>8505391.9376339763</v>
      </c>
      <c r="R115" s="187">
        <f t="shared" si="3"/>
        <v>4.3364120000000002</v>
      </c>
      <c r="S115" s="187">
        <f t="shared" si="2"/>
        <v>3.658188</v>
      </c>
      <c r="T115" s="187">
        <f t="shared" si="2"/>
        <v>5.3384516921022369</v>
      </c>
      <c r="U115" s="187">
        <f t="shared" si="2"/>
        <v>3.8099182702826582</v>
      </c>
      <c r="V115" s="187">
        <f t="shared" si="2"/>
        <v>8.5053919376339771</v>
      </c>
    </row>
    <row r="116" spans="1:22" s="172" customFormat="1" ht="16" customHeight="1">
      <c r="A116" s="191"/>
      <c r="B116" s="191"/>
      <c r="C116" s="175" t="s">
        <v>109</v>
      </c>
      <c r="D116" s="166" t="s">
        <v>110</v>
      </c>
      <c r="E116" s="167">
        <v>2640023</v>
      </c>
      <c r="F116" s="187">
        <v>3.417856</v>
      </c>
      <c r="G116" s="187">
        <v>3.6878790000000001</v>
      </c>
      <c r="H116" s="187">
        <v>4.1567135061849854</v>
      </c>
      <c r="I116" s="187">
        <v>4.8563979140287827</v>
      </c>
      <c r="J116" s="238">
        <v>5.5357529984992171</v>
      </c>
      <c r="L116" s="172">
        <v>3417856</v>
      </c>
      <c r="M116" s="172">
        <v>3687879</v>
      </c>
      <c r="N116" s="172">
        <v>4156713.5061849849</v>
      </c>
      <c r="O116" s="172">
        <v>4856397.9140287824</v>
      </c>
      <c r="P116" s="172">
        <v>5535752.9984992174</v>
      </c>
      <c r="R116" s="187">
        <f t="shared" si="3"/>
        <v>3.417856</v>
      </c>
      <c r="S116" s="187">
        <f t="shared" si="2"/>
        <v>3.6878790000000001</v>
      </c>
      <c r="T116" s="187">
        <f t="shared" si="2"/>
        <v>4.1567135061849854</v>
      </c>
      <c r="U116" s="187">
        <f t="shared" si="2"/>
        <v>4.8563979140287827</v>
      </c>
      <c r="V116" s="187">
        <f t="shared" si="2"/>
        <v>5.5357529984992171</v>
      </c>
    </row>
    <row r="117" spans="1:22" s="172" customFormat="1" ht="16" customHeight="1">
      <c r="A117" s="191"/>
      <c r="B117" s="191"/>
      <c r="C117" s="175" t="s">
        <v>111</v>
      </c>
      <c r="D117" s="166">
        <v>47.17</v>
      </c>
      <c r="E117" s="166">
        <v>40.35</v>
      </c>
      <c r="F117" s="187">
        <v>39.69</v>
      </c>
      <c r="G117" s="187">
        <v>27.47</v>
      </c>
      <c r="H117" s="187">
        <v>19.306096506637395</v>
      </c>
      <c r="I117" s="187">
        <v>11.643366045783536</v>
      </c>
      <c r="J117" s="238">
        <v>39.89322634155527</v>
      </c>
      <c r="L117" s="172">
        <v>39.69</v>
      </c>
      <c r="M117" s="172">
        <v>27.47</v>
      </c>
      <c r="N117" s="172">
        <v>19.306096506637395</v>
      </c>
      <c r="O117" s="172">
        <v>11.643366045783536</v>
      </c>
      <c r="P117" s="172">
        <v>39.89322634155527</v>
      </c>
      <c r="R117" s="187">
        <v>39.69</v>
      </c>
      <c r="S117" s="187">
        <v>27.47</v>
      </c>
      <c r="T117" s="187">
        <v>19.306096506637395</v>
      </c>
      <c r="U117" s="187">
        <v>11.643366045783536</v>
      </c>
      <c r="V117" s="187">
        <v>39.89322634155527</v>
      </c>
    </row>
    <row r="118" spans="1:22" s="172" customFormat="1" ht="16" customHeight="1">
      <c r="A118" s="191"/>
      <c r="B118" s="191"/>
      <c r="C118" s="174"/>
      <c r="D118" s="166"/>
      <c r="E118" s="166"/>
      <c r="F118" s="187"/>
      <c r="G118" s="187"/>
      <c r="H118" s="187"/>
      <c r="I118" s="187"/>
      <c r="J118" s="238"/>
      <c r="R118" s="187"/>
      <c r="S118" s="187"/>
      <c r="T118" s="187"/>
      <c r="U118" s="187"/>
      <c r="V118" s="187"/>
    </row>
    <row r="119" spans="1:22" s="172" customFormat="1" ht="16" customHeight="1">
      <c r="A119" s="191"/>
      <c r="B119" s="191"/>
      <c r="C119" s="175" t="s">
        <v>144</v>
      </c>
      <c r="D119" s="166">
        <v>908.29</v>
      </c>
      <c r="E119" s="167">
        <v>1345967</v>
      </c>
      <c r="F119" s="187">
        <v>1.511938</v>
      </c>
      <c r="G119" s="187">
        <v>1.9670730000000001</v>
      </c>
      <c r="H119" s="187">
        <v>2.5256579180624636</v>
      </c>
      <c r="I119" s="187">
        <v>3.1341809177292084</v>
      </c>
      <c r="J119" s="238">
        <v>3.5133569109142551</v>
      </c>
      <c r="L119" s="172">
        <v>1511938</v>
      </c>
      <c r="M119" s="172">
        <v>1967073</v>
      </c>
      <c r="N119" s="172">
        <v>2525657.9180624639</v>
      </c>
      <c r="O119" s="172">
        <v>3134180.9177292082</v>
      </c>
      <c r="P119" s="172">
        <v>3513356.9109142548</v>
      </c>
      <c r="R119" s="187">
        <f t="shared" si="3"/>
        <v>1.511938</v>
      </c>
      <c r="S119" s="187">
        <f t="shared" si="2"/>
        <v>1.9670730000000001</v>
      </c>
      <c r="T119" s="187">
        <f t="shared" si="2"/>
        <v>2.5256579180624636</v>
      </c>
      <c r="U119" s="187">
        <f t="shared" si="2"/>
        <v>3.1341809177292084</v>
      </c>
      <c r="V119" s="187">
        <f t="shared" si="2"/>
        <v>3.5133569109142551</v>
      </c>
    </row>
    <row r="120" spans="1:22" s="172" customFormat="1" ht="16" customHeight="1">
      <c r="A120" s="191"/>
      <c r="B120" s="191"/>
      <c r="C120" s="174"/>
      <c r="D120" s="166"/>
      <c r="E120" s="166"/>
      <c r="F120" s="187"/>
      <c r="G120" s="187"/>
      <c r="H120" s="187"/>
      <c r="I120" s="187"/>
      <c r="J120" s="238"/>
      <c r="R120" s="187"/>
      <c r="S120" s="187"/>
      <c r="T120" s="187"/>
      <c r="U120" s="187"/>
      <c r="V120" s="187"/>
    </row>
    <row r="121" spans="1:22" s="172" customFormat="1" ht="16" customHeight="1">
      <c r="A121" s="191"/>
      <c r="B121" s="191"/>
      <c r="C121" s="175" t="s">
        <v>145</v>
      </c>
      <c r="D121" s="166" t="s">
        <v>112</v>
      </c>
      <c r="E121" s="167">
        <v>1612216</v>
      </c>
      <c r="F121" s="187">
        <v>2.2096900000000002</v>
      </c>
      <c r="G121" s="187">
        <v>2.4852910000000001</v>
      </c>
      <c r="H121" s="187">
        <v>3.2173124082566158</v>
      </c>
      <c r="I121" s="187">
        <v>4.3687898107261836</v>
      </c>
      <c r="J121" s="238">
        <v>4.9386543218404579</v>
      </c>
      <c r="L121" s="172">
        <v>2209690</v>
      </c>
      <c r="M121" s="172">
        <v>2485291</v>
      </c>
      <c r="N121" s="172">
        <v>3217312.408256616</v>
      </c>
      <c r="O121" s="172">
        <v>4368789.8107261835</v>
      </c>
      <c r="P121" s="172">
        <v>4938654.3218404576</v>
      </c>
      <c r="R121" s="187">
        <f t="shared" si="3"/>
        <v>2.2096900000000002</v>
      </c>
      <c r="S121" s="187">
        <f t="shared" si="2"/>
        <v>2.4852910000000001</v>
      </c>
      <c r="T121" s="187">
        <f t="shared" si="2"/>
        <v>3.2173124082566158</v>
      </c>
      <c r="U121" s="187">
        <f t="shared" si="2"/>
        <v>4.3687898107261836</v>
      </c>
      <c r="V121" s="187">
        <f t="shared" si="2"/>
        <v>4.9386543218404579</v>
      </c>
    </row>
    <row r="122" spans="1:22" s="172" customFormat="1" ht="16" customHeight="1">
      <c r="A122" s="191"/>
      <c r="B122" s="191"/>
      <c r="C122" s="174"/>
      <c r="D122" s="166"/>
      <c r="E122" s="166"/>
      <c r="F122" s="187"/>
      <c r="G122" s="187"/>
      <c r="H122" s="187"/>
      <c r="I122" s="187"/>
      <c r="J122" s="238"/>
      <c r="R122" s="187"/>
      <c r="S122" s="187"/>
      <c r="T122" s="187"/>
      <c r="U122" s="187"/>
      <c r="V122" s="187"/>
    </row>
    <row r="123" spans="1:22" s="172" customFormat="1" ht="16" customHeight="1">
      <c r="A123" s="191"/>
      <c r="B123" s="191"/>
      <c r="C123" s="175" t="s">
        <v>139</v>
      </c>
      <c r="D123" s="167">
        <v>22401439</v>
      </c>
      <c r="E123" s="167">
        <v>24982331</v>
      </c>
      <c r="F123" s="187">
        <v>34.790467</v>
      </c>
      <c r="G123" s="187">
        <v>40.16234</v>
      </c>
      <c r="H123" s="187">
        <v>48.273884262974875</v>
      </c>
      <c r="I123" s="187">
        <v>55.973540533309574</v>
      </c>
      <c r="J123" s="236">
        <v>66.5</v>
      </c>
      <c r="L123" s="172">
        <v>34790467</v>
      </c>
      <c r="M123" s="172">
        <v>40162340</v>
      </c>
      <c r="N123" s="172">
        <v>48273884.262974873</v>
      </c>
      <c r="O123" s="172">
        <v>55973540.533309571</v>
      </c>
      <c r="P123" s="172">
        <v>66.5</v>
      </c>
      <c r="R123" s="187">
        <f t="shared" si="3"/>
        <v>34.790467</v>
      </c>
      <c r="S123" s="187">
        <f t="shared" si="2"/>
        <v>40.16234</v>
      </c>
      <c r="T123" s="187">
        <f t="shared" si="2"/>
        <v>48.273884262974875</v>
      </c>
      <c r="U123" s="187">
        <f t="shared" si="2"/>
        <v>55.973540533309574</v>
      </c>
      <c r="V123" s="172">
        <v>66.5</v>
      </c>
    </row>
    <row r="124" spans="1:22" ht="16" customHeight="1">
      <c r="A124" s="98"/>
      <c r="B124" s="98"/>
      <c r="C124" s="65"/>
      <c r="D124" s="68"/>
      <c r="E124" s="68"/>
      <c r="F124" s="68"/>
      <c r="G124" s="68"/>
      <c r="H124" s="96"/>
      <c r="I124" s="96"/>
    </row>
    <row r="125" spans="1:22" ht="16" customHeight="1">
      <c r="A125" s="99"/>
      <c r="B125" s="344" t="s">
        <v>113</v>
      </c>
      <c r="C125" s="344"/>
      <c r="D125" s="344"/>
      <c r="E125" s="344"/>
      <c r="F125" s="344"/>
      <c r="G125" s="344"/>
      <c r="H125" s="344"/>
      <c r="I125" s="91"/>
      <c r="J125" s="242"/>
      <c r="K125" s="100"/>
      <c r="L125" s="100"/>
      <c r="M125" s="100"/>
      <c r="N125" s="100"/>
      <c r="O125" s="100"/>
      <c r="P125" s="100"/>
    </row>
    <row r="126" spans="1:22" ht="16" customHeight="1">
      <c r="A126" s="98"/>
      <c r="B126" s="98"/>
      <c r="C126" s="65" t="s">
        <v>146</v>
      </c>
      <c r="D126" s="68"/>
      <c r="E126" s="68"/>
      <c r="F126" s="68"/>
      <c r="G126" s="68"/>
      <c r="H126" s="96"/>
      <c r="I126" s="96"/>
      <c r="L126" s="51">
        <v>1000000</v>
      </c>
    </row>
    <row r="127" spans="1:22" ht="16" customHeight="1">
      <c r="A127" s="98"/>
      <c r="B127" s="98"/>
      <c r="C127" s="66" t="s">
        <v>114</v>
      </c>
      <c r="D127" s="68" t="s">
        <v>115</v>
      </c>
      <c r="E127" s="76">
        <v>2653313</v>
      </c>
      <c r="F127" s="111">
        <v>4.3403099999999997</v>
      </c>
      <c r="G127" s="112">
        <v>5.1027810000000002</v>
      </c>
      <c r="H127" s="113">
        <v>5.7338601584270004</v>
      </c>
      <c r="I127" s="113">
        <v>6.7181459299999995</v>
      </c>
      <c r="J127" s="232">
        <v>7.7684798120730001</v>
      </c>
      <c r="L127" s="76">
        <v>4340310</v>
      </c>
      <c r="M127" s="95">
        <v>5102781</v>
      </c>
      <c r="N127" s="96">
        <v>5733860.158427</v>
      </c>
      <c r="O127" s="96">
        <v>6718145.9299999997</v>
      </c>
      <c r="P127" s="51">
        <v>7768479.8120729998</v>
      </c>
      <c r="R127" s="114">
        <f t="shared" ref="R127:V130" si="4">L127/$L$126</f>
        <v>4.3403099999999997</v>
      </c>
      <c r="S127" s="114">
        <f t="shared" si="4"/>
        <v>5.1027810000000002</v>
      </c>
      <c r="T127" s="114">
        <f t="shared" si="4"/>
        <v>5.7338601584270004</v>
      </c>
      <c r="U127" s="114">
        <f t="shared" si="4"/>
        <v>6.7181459299999995</v>
      </c>
      <c r="V127" s="114">
        <f t="shared" si="4"/>
        <v>7.7684798120730001</v>
      </c>
    </row>
    <row r="128" spans="1:22" ht="16" customHeight="1">
      <c r="A128" s="98"/>
      <c r="B128" s="98"/>
      <c r="C128" s="66" t="s">
        <v>116</v>
      </c>
      <c r="D128" s="68" t="s">
        <v>117</v>
      </c>
      <c r="E128" s="76">
        <v>4191467</v>
      </c>
      <c r="F128" s="111">
        <v>5.9212319999999998</v>
      </c>
      <c r="G128" s="112">
        <v>7.0236799999999997</v>
      </c>
      <c r="H128" s="113">
        <v>8.1790270418950008</v>
      </c>
      <c r="I128" s="113">
        <v>9.6035195099999999</v>
      </c>
      <c r="J128" s="232">
        <v>11.171999662039999</v>
      </c>
      <c r="L128" s="76">
        <v>5921232</v>
      </c>
      <c r="M128" s="95">
        <v>7023680</v>
      </c>
      <c r="N128" s="96">
        <v>8179027.0418950003</v>
      </c>
      <c r="O128" s="96">
        <v>9603519.5099999998</v>
      </c>
      <c r="P128" s="51">
        <v>11171999.662039999</v>
      </c>
      <c r="R128" s="114">
        <f t="shared" si="4"/>
        <v>5.9212319999999998</v>
      </c>
      <c r="S128" s="114">
        <f t="shared" si="4"/>
        <v>7.0236799999999997</v>
      </c>
      <c r="T128" s="114">
        <f t="shared" si="4"/>
        <v>8.1790270418950008</v>
      </c>
      <c r="U128" s="114">
        <f t="shared" si="4"/>
        <v>9.6035195099999999</v>
      </c>
      <c r="V128" s="114">
        <f t="shared" si="4"/>
        <v>11.171999662039999</v>
      </c>
    </row>
    <row r="129" spans="1:22" ht="16" customHeight="1">
      <c r="A129" s="98"/>
      <c r="B129" s="98"/>
      <c r="C129" s="66" t="s">
        <v>118</v>
      </c>
      <c r="D129" s="68" t="s">
        <v>119</v>
      </c>
      <c r="E129" s="76">
        <v>2218364</v>
      </c>
      <c r="F129" s="111">
        <v>2.499142</v>
      </c>
      <c r="G129" s="112">
        <v>3.0288249999999999</v>
      </c>
      <c r="H129" s="113">
        <v>3.0190826299999998</v>
      </c>
      <c r="I129" s="113">
        <v>3.5084894905139001</v>
      </c>
      <c r="J129" s="232">
        <v>3.8474742677959997</v>
      </c>
      <c r="L129" s="76">
        <v>2499142</v>
      </c>
      <c r="M129" s="95">
        <v>3028825</v>
      </c>
      <c r="N129" s="96">
        <v>3019082.63</v>
      </c>
      <c r="O129" s="96">
        <v>3508489.4905139003</v>
      </c>
      <c r="P129" s="51">
        <v>3847474.2677959995</v>
      </c>
      <c r="R129" s="114">
        <f t="shared" si="4"/>
        <v>2.499142</v>
      </c>
      <c r="S129" s="114">
        <f t="shared" si="4"/>
        <v>3.0288249999999999</v>
      </c>
      <c r="T129" s="114">
        <f t="shared" si="4"/>
        <v>3.0190826299999998</v>
      </c>
      <c r="U129" s="114">
        <f t="shared" si="4"/>
        <v>3.5084894905139001</v>
      </c>
      <c r="V129" s="114">
        <f t="shared" si="4"/>
        <v>3.8474742677959997</v>
      </c>
    </row>
    <row r="130" spans="1:22" ht="16" customHeight="1">
      <c r="A130" s="98"/>
      <c r="B130" s="98"/>
      <c r="C130" s="66" t="s">
        <v>120</v>
      </c>
      <c r="D130" s="68" t="s">
        <v>121</v>
      </c>
      <c r="E130" s="76">
        <v>51546789</v>
      </c>
      <c r="F130" s="111">
        <v>66.606696999999997</v>
      </c>
      <c r="G130" s="112">
        <v>87.490739000000005</v>
      </c>
      <c r="H130" s="113">
        <v>107.03467494357101</v>
      </c>
      <c r="I130" s="113">
        <v>121.92504579999999</v>
      </c>
      <c r="J130" s="232">
        <v>144.95778660858801</v>
      </c>
      <c r="L130" s="76">
        <v>66606697</v>
      </c>
      <c r="M130" s="95">
        <v>87490739</v>
      </c>
      <c r="N130" s="96">
        <v>107034674.943571</v>
      </c>
      <c r="O130" s="96">
        <v>121925045.8</v>
      </c>
      <c r="P130" s="51">
        <v>144957786.60858801</v>
      </c>
      <c r="R130" s="114">
        <f t="shared" si="4"/>
        <v>66.606696999999997</v>
      </c>
      <c r="S130" s="114">
        <f t="shared" si="4"/>
        <v>87.490739000000005</v>
      </c>
      <c r="T130" s="114">
        <f t="shared" si="4"/>
        <v>107.03467494357101</v>
      </c>
      <c r="U130" s="114">
        <f t="shared" si="4"/>
        <v>121.92504579999999</v>
      </c>
      <c r="V130" s="114">
        <f t="shared" si="4"/>
        <v>144.95778660858801</v>
      </c>
    </row>
    <row r="131" spans="1:22" ht="16" customHeight="1">
      <c r="A131" s="98"/>
      <c r="B131" s="98"/>
      <c r="C131" s="65"/>
      <c r="D131" s="68"/>
      <c r="E131" s="68"/>
      <c r="F131" s="68"/>
      <c r="G131" s="68"/>
      <c r="H131" s="96"/>
      <c r="I131" s="96"/>
    </row>
    <row r="132" spans="1:22" ht="16" customHeight="1">
      <c r="A132" s="101"/>
      <c r="B132" s="345" t="s">
        <v>122</v>
      </c>
      <c r="C132" s="345"/>
      <c r="D132" s="345"/>
      <c r="E132" s="345"/>
      <c r="F132" s="345"/>
      <c r="G132" s="345"/>
      <c r="H132" s="102"/>
      <c r="I132" s="102"/>
      <c r="J132" s="242"/>
    </row>
    <row r="133" spans="1:22" ht="16" customHeight="1">
      <c r="A133" s="103"/>
      <c r="B133" s="103"/>
      <c r="C133" s="104" t="s">
        <v>146</v>
      </c>
      <c r="D133" s="97"/>
      <c r="E133" s="97"/>
      <c r="F133" s="97"/>
      <c r="G133" s="97"/>
      <c r="H133" s="96"/>
      <c r="I133" s="96"/>
      <c r="J133" s="243"/>
      <c r="L133" s="51">
        <v>1000000</v>
      </c>
    </row>
    <row r="134" spans="1:22" ht="16" customHeight="1">
      <c r="A134" s="103"/>
      <c r="B134" s="103"/>
      <c r="C134" s="105" t="s">
        <v>114</v>
      </c>
      <c r="D134" s="97" t="s">
        <v>123</v>
      </c>
      <c r="E134" s="95">
        <v>5642102</v>
      </c>
      <c r="F134" s="112">
        <v>8.6675869999999993</v>
      </c>
      <c r="G134" s="112">
        <v>10.642225</v>
      </c>
      <c r="H134" s="113">
        <v>11.798222458296001</v>
      </c>
      <c r="I134" s="113">
        <v>13.543223365030002</v>
      </c>
      <c r="J134" s="244">
        <v>15.234997030000001</v>
      </c>
      <c r="L134" s="51">
        <v>8667587</v>
      </c>
      <c r="M134" s="51">
        <v>10642225</v>
      </c>
      <c r="N134" s="51">
        <v>11798222.458296001</v>
      </c>
      <c r="O134" s="51">
        <v>13543223.365030002</v>
      </c>
      <c r="P134" s="51">
        <v>15234997.030000001</v>
      </c>
      <c r="R134" s="74">
        <f t="shared" ref="R134:V139" si="5">L134/$L$133</f>
        <v>8.6675869999999993</v>
      </c>
      <c r="S134" s="74">
        <f t="shared" si="5"/>
        <v>10.642225</v>
      </c>
      <c r="T134" s="74">
        <f t="shared" si="5"/>
        <v>11.798222458296001</v>
      </c>
      <c r="U134" s="74">
        <f t="shared" si="5"/>
        <v>13.543223365030002</v>
      </c>
      <c r="V134" s="74">
        <f t="shared" si="5"/>
        <v>15.234997030000001</v>
      </c>
    </row>
    <row r="135" spans="1:22" ht="16" customHeight="1">
      <c r="A135" s="103"/>
      <c r="B135" s="103"/>
      <c r="C135" s="105" t="s">
        <v>116</v>
      </c>
      <c r="D135" s="97" t="s">
        <v>124</v>
      </c>
      <c r="E135" s="95">
        <v>22532400</v>
      </c>
      <c r="F135" s="112">
        <v>33.654803000000001</v>
      </c>
      <c r="G135" s="112">
        <v>41.249257</v>
      </c>
      <c r="H135" s="113">
        <v>47.605561899473997</v>
      </c>
      <c r="I135" s="113">
        <v>56.356974125025999</v>
      </c>
      <c r="J135" s="244">
        <v>66.769268240000002</v>
      </c>
      <c r="L135" s="51">
        <v>33654803</v>
      </c>
      <c r="M135" s="51">
        <v>41249257</v>
      </c>
      <c r="N135" s="51">
        <v>47605561.899473995</v>
      </c>
      <c r="O135" s="51">
        <v>56356974.125026003</v>
      </c>
      <c r="P135" s="51">
        <v>66769268.240000002</v>
      </c>
      <c r="R135" s="74">
        <f t="shared" si="5"/>
        <v>33.654803000000001</v>
      </c>
      <c r="S135" s="74">
        <f t="shared" si="5"/>
        <v>41.249257</v>
      </c>
      <c r="T135" s="74">
        <f t="shared" si="5"/>
        <v>47.605561899473997</v>
      </c>
      <c r="U135" s="74">
        <f t="shared" si="5"/>
        <v>56.356974125025999</v>
      </c>
      <c r="V135" s="74">
        <f t="shared" si="5"/>
        <v>66.769268240000002</v>
      </c>
    </row>
    <row r="136" spans="1:22" ht="16" customHeight="1">
      <c r="A136" s="103"/>
      <c r="B136" s="103"/>
      <c r="C136" s="105" t="s">
        <v>118</v>
      </c>
      <c r="D136" s="97" t="s">
        <v>125</v>
      </c>
      <c r="E136" s="95">
        <v>6739055</v>
      </c>
      <c r="F136" s="112">
        <v>11.194848</v>
      </c>
      <c r="G136" s="112">
        <v>14.806554999999999</v>
      </c>
      <c r="H136" s="113">
        <v>14.842908321325</v>
      </c>
      <c r="I136" s="113">
        <v>10.033000748262999</v>
      </c>
      <c r="J136" s="244">
        <v>12.728224769999999</v>
      </c>
      <c r="L136" s="51">
        <v>11194848</v>
      </c>
      <c r="M136" s="51">
        <v>14806555</v>
      </c>
      <c r="N136" s="51">
        <v>14842908.321325</v>
      </c>
      <c r="O136" s="51">
        <v>10033000.748263</v>
      </c>
      <c r="P136" s="51">
        <v>12728224.77</v>
      </c>
      <c r="R136" s="74">
        <f t="shared" si="5"/>
        <v>11.194848</v>
      </c>
      <c r="S136" s="74">
        <f t="shared" si="5"/>
        <v>14.806554999999999</v>
      </c>
      <c r="T136" s="74">
        <f t="shared" si="5"/>
        <v>14.842908321325</v>
      </c>
      <c r="U136" s="74">
        <f t="shared" si="5"/>
        <v>10.033000748262999</v>
      </c>
      <c r="V136" s="74">
        <f t="shared" si="5"/>
        <v>12.728224769999999</v>
      </c>
    </row>
    <row r="137" spans="1:22" ht="16" customHeight="1">
      <c r="A137" s="103"/>
      <c r="B137" s="103"/>
      <c r="C137" s="105" t="s">
        <v>120</v>
      </c>
      <c r="D137" s="97" t="s">
        <v>126</v>
      </c>
      <c r="E137" s="95">
        <v>27370978</v>
      </c>
      <c r="F137" s="112">
        <v>39.777493999999997</v>
      </c>
      <c r="G137" s="112">
        <v>51.592491000000003</v>
      </c>
      <c r="H137" s="113">
        <v>61.46399879726247</v>
      </c>
      <c r="I137" s="113">
        <v>73.144230352086012</v>
      </c>
      <c r="J137" s="244">
        <v>92.123248029999999</v>
      </c>
      <c r="L137" s="51">
        <v>39777494</v>
      </c>
      <c r="M137" s="51">
        <v>51592491</v>
      </c>
      <c r="N137" s="51">
        <v>61463998.797262467</v>
      </c>
      <c r="O137" s="51">
        <v>73144230.352086008</v>
      </c>
      <c r="P137" s="51">
        <v>92123248.030000001</v>
      </c>
      <c r="R137" s="74">
        <f t="shared" si="5"/>
        <v>39.777493999999997</v>
      </c>
      <c r="S137" s="74">
        <f t="shared" si="5"/>
        <v>51.592491000000003</v>
      </c>
      <c r="T137" s="74">
        <f t="shared" si="5"/>
        <v>61.46399879726247</v>
      </c>
      <c r="U137" s="74">
        <f t="shared" si="5"/>
        <v>73.144230352086012</v>
      </c>
      <c r="V137" s="74">
        <f t="shared" si="5"/>
        <v>92.123248029999999</v>
      </c>
    </row>
    <row r="138" spans="1:22" ht="16" customHeight="1" thickBot="1">
      <c r="A138" s="106"/>
      <c r="B138" s="106"/>
      <c r="C138" s="107"/>
      <c r="D138" s="108"/>
      <c r="E138" s="108"/>
      <c r="F138" s="108"/>
      <c r="G138" s="108"/>
      <c r="H138" s="108"/>
      <c r="I138" s="108"/>
      <c r="J138" s="245"/>
      <c r="R138" s="74">
        <f t="shared" si="5"/>
        <v>0</v>
      </c>
      <c r="S138" s="74">
        <f t="shared" si="5"/>
        <v>0</v>
      </c>
      <c r="T138" s="74">
        <f t="shared" si="5"/>
        <v>0</v>
      </c>
      <c r="U138" s="74">
        <f t="shared" si="5"/>
        <v>0</v>
      </c>
      <c r="V138" s="74">
        <f t="shared" si="5"/>
        <v>0</v>
      </c>
    </row>
    <row r="139" spans="1:22" ht="16" customHeight="1" thickTop="1">
      <c r="R139" s="74">
        <f t="shared" si="5"/>
        <v>0</v>
      </c>
      <c r="S139" s="74">
        <f t="shared" si="5"/>
        <v>0</v>
      </c>
      <c r="T139" s="74">
        <f t="shared" si="5"/>
        <v>0</v>
      </c>
      <c r="U139" s="74">
        <f t="shared" si="5"/>
        <v>0</v>
      </c>
      <c r="V139" s="74">
        <f t="shared" si="5"/>
        <v>0</v>
      </c>
    </row>
  </sheetData>
  <mergeCells count="30">
    <mergeCell ref="B36:C36"/>
    <mergeCell ref="A4:C4"/>
    <mergeCell ref="B6:C6"/>
    <mergeCell ref="B14:C14"/>
    <mergeCell ref="B16:C16"/>
    <mergeCell ref="B18:C18"/>
    <mergeCell ref="B24:C24"/>
    <mergeCell ref="B25:C25"/>
    <mergeCell ref="B31:C31"/>
    <mergeCell ref="B32:C32"/>
    <mergeCell ref="B33:C33"/>
    <mergeCell ref="B34:C34"/>
    <mergeCell ref="B20:C20"/>
    <mergeCell ref="B72:C72"/>
    <mergeCell ref="B46:C46"/>
    <mergeCell ref="B48:C48"/>
    <mergeCell ref="A53:C53"/>
    <mergeCell ref="A54:C54"/>
    <mergeCell ref="A57:G57"/>
    <mergeCell ref="B59:C59"/>
    <mergeCell ref="B65:C65"/>
    <mergeCell ref="B67:C67"/>
    <mergeCell ref="A69:I69"/>
    <mergeCell ref="B71:C71"/>
    <mergeCell ref="A55:F55"/>
    <mergeCell ref="B88:C88"/>
    <mergeCell ref="B90:C90"/>
    <mergeCell ref="A109:G109"/>
    <mergeCell ref="B125:H125"/>
    <mergeCell ref="B132:G132"/>
  </mergeCells>
  <printOptions horizontalCentered="1"/>
  <pageMargins left="0.55118110236220474" right="0.35433070866141736" top="0.78740157480314965" bottom="0.35433070866141736" header="0.31496062992125984" footer="0.31496062992125984"/>
  <pageSetup paperSize="9" scale="80" fitToHeight="0" orientation="portrait" r:id="rId1"/>
  <rowBreaks count="1" manualBreakCount="1">
    <brk id="108" max="16383" man="1"/>
  </rowBreak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D563F73FA4954893C2CB3EEF8227AA" ma:contentTypeVersion="14" ma:contentTypeDescription="Create a new document." ma:contentTypeScope="" ma:versionID="ab4df6097b22e297e6c1ec20eef7571c">
  <xsd:schema xmlns:xsd="http://www.w3.org/2001/XMLSchema" xmlns:xs="http://www.w3.org/2001/XMLSchema" xmlns:p="http://schemas.microsoft.com/office/2006/metadata/properties" xmlns:ns2="31de8e1b-06f9-4d19-83c0-e9bbe061af40" xmlns:ns3="000b08fe-102a-4c76-b8b5-863216bdf036" targetNamespace="http://schemas.microsoft.com/office/2006/metadata/properties" ma:root="true" ma:fieldsID="201e20a9151ea0a391ab9acc6ceac46b" ns2:_="" ns3:_="">
    <xsd:import namespace="31de8e1b-06f9-4d19-83c0-e9bbe061af40"/>
    <xsd:import namespace="000b08fe-102a-4c76-b8b5-863216bdf0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de8e1b-06f9-4d19-83c0-e9bbe061a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02c4ad2-bbc8-4f3a-a895-8665aa26e2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0b08fe-102a-4c76-b8b5-863216bdf03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94f2cb3-033b-41e9-841a-9e53a001fdf5}" ma:internalName="TaxCatchAll" ma:showField="CatchAllData" ma:web="000b08fe-102a-4c76-b8b5-863216bdf0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de8e1b-06f9-4d19-83c0-e9bbe061af40">
      <Terms xmlns="http://schemas.microsoft.com/office/infopath/2007/PartnerControls"/>
    </lcf76f155ced4ddcb4097134ff3c332f>
    <TaxCatchAll xmlns="000b08fe-102a-4c76-b8b5-863216bdf036" xsi:nil="true"/>
  </documentManagement>
</p:properties>
</file>

<file path=customXml/itemProps1.xml><?xml version="1.0" encoding="utf-8"?>
<ds:datastoreItem xmlns:ds="http://schemas.openxmlformats.org/officeDocument/2006/customXml" ds:itemID="{E5425200-A192-438B-99E3-7B3B0AC4E3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de8e1b-06f9-4d19-83c0-e9bbe061af40"/>
    <ds:schemaRef ds:uri="000b08fe-102a-4c76-b8b5-863216bdf0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5B9A01-E13A-4D9F-ACED-4239F24441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CCA821-925F-4F5C-A506-5EE5913DFC01}">
  <ds:schemaRefs>
    <ds:schemaRef ds:uri="31de8e1b-06f9-4d19-83c0-e9bbe061af40"/>
    <ds:schemaRef ds:uri="http://purl.org/dc/dcmitype/"/>
    <ds:schemaRef ds:uri="http://purl.org/dc/terms/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000b08fe-102a-4c76-b8b5-863216bdf03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CETAK</vt:lpstr>
      <vt:lpstr>CETAK (value)</vt:lpstr>
      <vt:lpstr>'CETAK (value)'!Print_Area</vt:lpstr>
    </vt:vector>
  </TitlesOfParts>
  <Company>BAPEPAM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RISTI08-03</dc:creator>
  <cp:lastModifiedBy>Tita Rahmasari</cp:lastModifiedBy>
  <cp:lastPrinted>2014-11-10T07:03:37Z</cp:lastPrinted>
  <dcterms:created xsi:type="dcterms:W3CDTF">2012-12-11T09:09:17Z</dcterms:created>
  <dcterms:modified xsi:type="dcterms:W3CDTF">2025-11-17T11:28:45Z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0x010100D7D563F73FA4954893C2CB3EEF8227AA</vt:lpwstr>
  </property>
  <property fmtid="{D5CDD505-2E9C-101B-9397-08002B2CF9AE}" pid="3" name="MediaServiceImageTags">
    <vt:lpwstr/>
  </property>
</Properties>
</file>