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ssi\Downloads\AIC_UNESA\katalog_usgs\AIC_Case\AIC_CASE\06_analisis_terpadu\G_solusi\"/>
    </mc:Choice>
  </mc:AlternateContent>
  <xr:revisionPtr revIDLastSave="0" documentId="13_ncr:1_{E0AA7A0E-2234-420F-A75F-FFB5AFC2D9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ca_Dulu" sheetId="1" r:id="rId1"/>
    <sheet name="Asumsi" sheetId="2" r:id="rId2"/>
    <sheet name="Hasil_Model" sheetId="3" r:id="rId3"/>
    <sheet name="Matematika_Keuangan" sheetId="4" r:id="rId4"/>
    <sheet name="Biaya_Manfaat" sheetId="5" r:id="rId5"/>
    <sheet name="Sensitivitas" sheetId="6" r:id="rId6"/>
    <sheet name="Skenario" sheetId="7" r:id="rId7"/>
    <sheet name="Lima_Mengapa" sheetId="8" r:id="rId8"/>
    <sheet name="Dampak_Upaya" sheetId="9" r:id="rId9"/>
    <sheet name="Kelayakan" sheetId="10" r:id="rId10"/>
    <sheet name="Risiko" sheetId="11" r:id="rId11"/>
    <sheet name="Peta_Jalan_KPI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2" l="1"/>
  <c r="B14" i="12"/>
  <c r="B13" i="12"/>
  <c r="B12" i="12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4" i="11"/>
  <c r="G4" i="11" s="1"/>
  <c r="B25" i="10"/>
  <c r="B24" i="10"/>
  <c r="B23" i="10"/>
  <c r="B22" i="10"/>
  <c r="B21" i="10"/>
  <c r="C21" i="10" s="1"/>
  <c r="D21" i="10" s="1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C30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K33" i="6"/>
  <c r="K32" i="6"/>
  <c r="K31" i="6"/>
  <c r="K30" i="6"/>
  <c r="K29" i="6"/>
  <c r="C31" i="5"/>
  <c r="B31" i="5"/>
  <c r="C28" i="5"/>
  <c r="B28" i="5"/>
  <c r="C27" i="5"/>
  <c r="D27" i="5" s="1"/>
  <c r="B27" i="5"/>
  <c r="B16" i="5"/>
  <c r="G11" i="5"/>
  <c r="F11" i="5"/>
  <c r="E11" i="5"/>
  <c r="D11" i="5"/>
  <c r="C11" i="5"/>
  <c r="B11" i="5"/>
  <c r="F28" i="4"/>
  <c r="E28" i="4"/>
  <c r="G28" i="4" s="1"/>
  <c r="H28" i="4" s="1"/>
  <c r="F27" i="4"/>
  <c r="E27" i="4"/>
  <c r="G27" i="4" s="1"/>
  <c r="H27" i="4" s="1"/>
  <c r="F26" i="4"/>
  <c r="E26" i="4"/>
  <c r="G26" i="4" s="1"/>
  <c r="H26" i="4" s="1"/>
  <c r="C20" i="4"/>
  <c r="C19" i="4"/>
  <c r="C17" i="4"/>
  <c r="C13" i="4"/>
  <c r="C11" i="4"/>
  <c r="C8" i="4"/>
  <c r="C4" i="4"/>
  <c r="C5" i="4" s="1"/>
  <c r="C6" i="4" s="1"/>
  <c r="D27" i="3"/>
  <c r="C27" i="3"/>
  <c r="B27" i="3"/>
  <c r="D26" i="3"/>
  <c r="C26" i="3"/>
  <c r="B26" i="3"/>
  <c r="D24" i="3"/>
  <c r="D25" i="3" s="1"/>
  <c r="C24" i="3"/>
  <c r="C25" i="3" s="1"/>
  <c r="B24" i="3"/>
  <c r="B25" i="3" s="1"/>
  <c r="B25" i="2"/>
  <c r="B20" i="2"/>
  <c r="B5" i="2"/>
  <c r="C25" i="10" l="1"/>
  <c r="D25" i="10" s="1"/>
  <c r="C24" i="10"/>
  <c r="D24" i="10" s="1"/>
  <c r="D31" i="5"/>
  <c r="C22" i="4"/>
  <c r="C23" i="10"/>
  <c r="D23" i="10" s="1"/>
  <c r="C22" i="10"/>
  <c r="D22" i="10" s="1"/>
  <c r="D28" i="5"/>
  <c r="B7" i="6"/>
  <c r="F9" i="5"/>
  <c r="C9" i="5"/>
  <c r="E9" i="5"/>
  <c r="D9" i="5"/>
  <c r="G9" i="5"/>
  <c r="B8" i="6"/>
  <c r="B8" i="5"/>
  <c r="F7" i="5"/>
  <c r="C7" i="5"/>
  <c r="F6" i="5"/>
  <c r="D6" i="5"/>
  <c r="G7" i="5"/>
  <c r="D7" i="5"/>
  <c r="G6" i="5"/>
  <c r="C6" i="5"/>
  <c r="B5" i="5"/>
  <c r="E7" i="5"/>
  <c r="E6" i="5"/>
  <c r="E10" i="5" s="1"/>
  <c r="G5" i="5"/>
  <c r="D15" i="11"/>
  <c r="D14" i="11"/>
  <c r="D13" i="11"/>
  <c r="C31" i="9"/>
  <c r="F11" i="9" s="1"/>
  <c r="C21" i="4"/>
  <c r="C18" i="4"/>
  <c r="C7" i="4"/>
  <c r="C9" i="4" s="1"/>
  <c r="C10" i="4" s="1"/>
  <c r="C12" i="4" s="1"/>
  <c r="C14" i="4" s="1"/>
  <c r="J32" i="6"/>
  <c r="J33" i="6"/>
  <c r="B63" i="5"/>
  <c r="B61" i="5"/>
  <c r="B60" i="5"/>
  <c r="F4" i="7"/>
  <c r="F5" i="7"/>
  <c r="C30" i="5"/>
  <c r="B30" i="5"/>
  <c r="C29" i="5"/>
  <c r="B29" i="5"/>
  <c r="F6" i="7"/>
  <c r="F7" i="7"/>
  <c r="C25" i="5"/>
  <c r="B25" i="5"/>
  <c r="F8" i="7"/>
  <c r="F9" i="7"/>
  <c r="F11" i="7"/>
  <c r="F14" i="7"/>
  <c r="F16" i="7"/>
  <c r="B4" i="6"/>
  <c r="F19" i="7"/>
  <c r="F20" i="7"/>
  <c r="B6" i="6"/>
  <c r="F10" i="7"/>
  <c r="F12" i="7"/>
  <c r="F13" i="7"/>
  <c r="F15" i="7"/>
  <c r="F17" i="7"/>
  <c r="F21" i="7"/>
  <c r="F22" i="7"/>
  <c r="J30" i="6"/>
  <c r="J31" i="6"/>
  <c r="F23" i="7"/>
  <c r="D30" i="3"/>
  <c r="C30" i="3"/>
  <c r="B30" i="3"/>
  <c r="D29" i="3"/>
  <c r="C29" i="3"/>
  <c r="F18" i="7"/>
  <c r="D28" i="3"/>
  <c r="C28" i="3"/>
  <c r="B28" i="3"/>
  <c r="J29" i="6"/>
  <c r="B5" i="6"/>
  <c r="B29" i="3"/>
  <c r="B18" i="5" l="1"/>
  <c r="F10" i="5"/>
  <c r="D10" i="5"/>
  <c r="C10" i="5"/>
  <c r="G10" i="5"/>
  <c r="B10" i="5"/>
  <c r="B17" i="5"/>
  <c r="B19" i="5" s="1"/>
  <c r="E54" i="5"/>
  <c r="E56" i="5" s="1"/>
  <c r="E50" i="5"/>
  <c r="E12" i="5"/>
  <c r="F17" i="9"/>
  <c r="F18" i="9"/>
  <c r="F20" i="9"/>
  <c r="F22" i="9"/>
  <c r="F23" i="9"/>
  <c r="F25" i="9"/>
  <c r="F26" i="9"/>
  <c r="F28" i="9"/>
  <c r="F15" i="9"/>
  <c r="F16" i="9"/>
  <c r="F19" i="9"/>
  <c r="F21" i="9"/>
  <c r="F24" i="9"/>
  <c r="F27" i="9"/>
  <c r="F4" i="9"/>
  <c r="F5" i="9"/>
  <c r="F6" i="9"/>
  <c r="F7" i="9"/>
  <c r="F8" i="9"/>
  <c r="F9" i="9"/>
  <c r="F12" i="9"/>
  <c r="F13" i="9"/>
  <c r="F14" i="9"/>
  <c r="F10" i="9"/>
  <c r="B12" i="5"/>
  <c r="B15" i="5"/>
  <c r="B50" i="5"/>
  <c r="B54" i="5"/>
  <c r="B13" i="6"/>
  <c r="C13" i="6" s="1"/>
  <c r="B15" i="6"/>
  <c r="C15" i="6" s="1"/>
  <c r="B16" i="6"/>
  <c r="C16" i="6" s="1"/>
  <c r="B22" i="6"/>
  <c r="C22" i="6" s="1"/>
  <c r="B25" i="6"/>
  <c r="C25" i="6" s="1"/>
  <c r="B12" i="6"/>
  <c r="C12" i="6" s="1"/>
  <c r="B18" i="6"/>
  <c r="C18" i="6" s="1"/>
  <c r="B24" i="6"/>
  <c r="C24" i="6" s="1"/>
  <c r="B14" i="6"/>
  <c r="C14" i="6" s="1"/>
  <c r="B17" i="6"/>
  <c r="C17" i="6" s="1"/>
  <c r="B23" i="6"/>
  <c r="C23" i="6" s="1"/>
  <c r="B41" i="5"/>
  <c r="C41" i="5"/>
  <c r="D41" i="5"/>
  <c r="E41" i="5"/>
  <c r="F41" i="5"/>
  <c r="C26" i="5"/>
  <c r="B45" i="5"/>
  <c r="C45" i="5"/>
  <c r="D45" i="5"/>
  <c r="E45" i="5"/>
  <c r="F45" i="5"/>
  <c r="B26" i="5"/>
  <c r="B40" i="5"/>
  <c r="D30" i="5"/>
  <c r="D29" i="5"/>
  <c r="D25" i="5"/>
  <c r="B33" i="5" s="1"/>
  <c r="F54" i="5" l="1"/>
  <c r="F56" i="5" s="1"/>
  <c r="F12" i="5"/>
  <c r="F50" i="5"/>
  <c r="D12" i="5"/>
  <c r="D54" i="5"/>
  <c r="D56" i="5" s="1"/>
  <c r="D50" i="5"/>
  <c r="C12" i="5"/>
  <c r="B14" i="5" s="1"/>
  <c r="B20" i="5" s="1"/>
  <c r="C50" i="5"/>
  <c r="C54" i="5"/>
  <c r="G54" i="5"/>
  <c r="G56" i="5" s="1"/>
  <c r="G50" i="5"/>
  <c r="G12" i="5"/>
  <c r="B53" i="5"/>
  <c r="B35" i="6"/>
  <c r="B56" i="5"/>
  <c r="B35" i="5"/>
  <c r="B34" i="5"/>
  <c r="D26" i="5"/>
  <c r="B42" i="5"/>
  <c r="B52" i="5" l="1"/>
  <c r="B51" i="5"/>
  <c r="C56" i="5"/>
  <c r="B55" i="5"/>
  <c r="B58" i="5"/>
  <c r="B57" i="5"/>
  <c r="B59" i="5"/>
  <c r="B43" i="5"/>
  <c r="B44" i="5"/>
  <c r="C40" i="5" s="1"/>
  <c r="C42" i="5" l="1"/>
  <c r="C43" i="5" l="1"/>
  <c r="C44" i="5"/>
  <c r="D40" i="5" s="1"/>
  <c r="D42" i="5" l="1"/>
  <c r="D43" i="5" l="1"/>
  <c r="D44" i="5"/>
  <c r="E40" i="5" s="1"/>
  <c r="E42" i="5" l="1"/>
  <c r="E43" i="5" l="1"/>
  <c r="E44" i="5"/>
  <c r="F40" i="5" s="1"/>
  <c r="F42" i="5" l="1"/>
  <c r="F43" i="5" l="1"/>
  <c r="F44" i="5"/>
</calcChain>
</file>

<file path=xl/sharedStrings.xml><?xml version="1.0" encoding="utf-8"?>
<sst xmlns="http://schemas.openxmlformats.org/spreadsheetml/2006/main" count="673" uniqueCount="527">
  <si>
    <t>Analisis solusi PT Aktu Proteksi: Geo-Solvency Shield</t>
  </si>
  <si>
    <t>Isi</t>
  </si>
  <si>
    <t>Buku kerja ini memuat perhitungan matematika keuangan, analisis biaya-manfaat, kepekaan, skenario, dan kerangka bisnis untuk solusi soal 5.</t>
  </si>
  <si>
    <t>Satuan</t>
  </si>
  <si>
    <t>Angka model dinyatakan per 100 premi dicatat lini harta benda setahun. Lembar Asumsi mengubahnya ke rupiah lewat skala premi.</t>
  </si>
  <si>
    <t>Warna</t>
  </si>
  <si>
    <t>Biru = masukan atau keluaran simulasi yang boleh diganti; hitam = rumus; hijau = rujukan ke lembar lain; kuning = asumsi kunci.</t>
  </si>
  <si>
    <t>Asal angka model</t>
  </si>
  <si>
    <t>Lembar Hasil_Model disalin dari G_solusi/keluaran/rancangan.json (simulasi 100.000 tahun; R untuk kerugian bencana, Python untuk neraca).</t>
  </si>
  <si>
    <t>Solusi terpilih</t>
  </si>
  <si>
    <t>Batas 10% di zona inti; rasio solvabilitas awal 190%</t>
  </si>
  <si>
    <t>Tiga jalan</t>
  </si>
  <si>
    <t>Sekarang = polis standar pada target 120%. Modal saja = polis standar pada target yang lolos tiga kendala. Solusi = rancangan terpilih.</t>
  </si>
  <si>
    <t>Tiga kendala</t>
  </si>
  <si>
    <t>C1: P(R &lt; 100%) paling besar 0,5% (kurva campuran). C2: sama, pada kurva Aulady &amp; Fujimi saja. C3: rasio paling rendah 100% setelah skenario megathrust Jawa bagian barat M 8,7 (guncangan median).</t>
  </si>
  <si>
    <t>Kerangka bisnis</t>
  </si>
  <si>
    <t>Dipilih menurut aturan satu pertanyaan satu kerangka: 5 Whys (akar masalah), Impact-Effort (prioritas), NPV dan kepekaan (kelayakan finansial), matriks kelayakan empat aspek, Risk Matrix (risiko), Roadmap dan KPI (pelaksanaan).</t>
  </si>
  <si>
    <t>Lembar</t>
  </si>
  <si>
    <t>Asumsi, Hasil_Model, Matematika_Keuangan, Biaya_Manfaat, Sensitivitas, Skenario, Lima_Mengapa, Dampak_Upaya, Kelayakan, Risiko, Peta_Jalan_KPI.</t>
  </si>
  <si>
    <t>Asumsi dan masukan</t>
  </si>
  <si>
    <t>Sel biru boleh diganti; lembar lain mengikuti.</t>
  </si>
  <si>
    <t>Butir</t>
  </si>
  <si>
    <t>Nilai</t>
  </si>
  <si>
    <t>Status</t>
  </si>
  <si>
    <t>Sumber atau catatan</t>
  </si>
  <si>
    <t>Premi harta benda setahun</t>
  </si>
  <si>
    <t>Rp miliar</t>
  </si>
  <si>
    <t>asumsi</t>
  </si>
  <si>
    <t>Pada premi Rp1 triliun, ekuitas untuk rasio 120% sekitar Rp228 miliar, dekat dengan ekuitas minimum Rp250 miliar (POJK 23/2023). Premi harta benda terbesar di industri Rp2,2 triliun; median Rp177 miliar (OJK 2024).</t>
  </si>
  <si>
    <t>Skala: Rp miliar per satuan per 100 premi</t>
  </si>
  <si>
    <t>rumus</t>
  </si>
  <si>
    <t>Pengali dari satuan model ke rupiah</t>
  </si>
  <si>
    <t>Biaya modal</t>
  </si>
  <si>
    <t>per tahun</t>
  </si>
  <si>
    <t>Imbal hasil yang dituntut pemegang saham. Patokan: SBN 10 tahun 7,16% ditambah premi risiko ekuitas sekitar 6 poin.</t>
  </si>
  <si>
    <t>Horizon analisis</t>
  </si>
  <si>
    <t>tahun</t>
  </si>
  <si>
    <t>Lembar Biaya_Manfaat disusun untuk lima tahun</t>
  </si>
  <si>
    <t>Tarif pajak penghasilan badan</t>
  </si>
  <si>
    <t>regulasi</t>
  </si>
  <si>
    <t>UU 7/2021</t>
  </si>
  <si>
    <t>Eksposur gempa per premi harta benda (E)</t>
  </si>
  <si>
    <t>kali</t>
  </si>
  <si>
    <t>data</t>
  </si>
  <si>
    <t>MAIPARK (2025); OJK (2025)</t>
  </si>
  <si>
    <t>Tarif gempa rata-rata</t>
  </si>
  <si>
    <t>per mil</t>
  </si>
  <si>
    <t>MAIPARK (2025)</t>
  </si>
  <si>
    <t>Porsi premi gempa yang terkena syarat strategi terpilih</t>
  </si>
  <si>
    <t>Batas 10% di zona inti; zona inti: Papua, Jawa Barat, Jakarta, Sumatera Utara, Banten; MAIPARK (2025)</t>
  </si>
  <si>
    <t>Skala premi syarat strategi terpilih (batas10)</t>
  </si>
  <si>
    <t>SEOJK 6/2017 Lampiran III Tabel III.B; dibaca dari strategi terpilih</t>
  </si>
  <si>
    <t>Komisi</t>
  </si>
  <si>
    <t>dari premi</t>
  </si>
  <si>
    <t>OJK Tabel 2.10.4</t>
  </si>
  <si>
    <t>Defisit harapan pemegang polis ikut dihitung (1 = ya, 0 = tidak)</t>
  </si>
  <si>
    <t>Butsic (1994); Myers &amp; Read (2001)</t>
  </si>
  <si>
    <t>Biaya pelaksanaan awal (Rp miliar)</t>
  </si>
  <si>
    <t>Mesin akumulasi dan geokode</t>
  </si>
  <si>
    <t>Geokode polis, basis data eksposur, mesin simulasi berbasis data terbuka</t>
  </si>
  <si>
    <t>Penyesuaian produk dan pelaporan</t>
  </si>
  <si>
    <t>Klausul first loss, pembaruan pedoman underwriting, pelaporan produk</t>
  </si>
  <si>
    <t>Pelatihan dan sosialisasi</t>
  </si>
  <si>
    <t>Underwriter, pemasaran, pialang</t>
  </si>
  <si>
    <t>Jumlah biaya awal</t>
  </si>
  <si>
    <t>Biaya operasi tahunan (Rp miliar)</t>
  </si>
  <si>
    <t>Tim manajemen eksposur</t>
  </si>
  <si>
    <t>Tiga orang: aktuaris, analis bahaya, analis data</t>
  </si>
  <si>
    <t>Data dan komputasi</t>
  </si>
  <si>
    <t>Pembaruan katalog, data MAIPARK, komputasi</t>
  </si>
  <si>
    <t>Validasi independen</t>
  </si>
  <si>
    <t>Telaah model tahunan</t>
  </si>
  <si>
    <t>Jumlah biaya tahunan</t>
  </si>
  <si>
    <t>Pengali biaya pelaksanaan (uji)</t>
  </si>
  <si>
    <t>Isi 2 untuk menguji biaya dua kali lipat</t>
  </si>
  <si>
    <t>Keluaran simulasi untuk tiga jalan</t>
  </si>
  <si>
    <t>Per 100 premi dicatat, kecuali disebut lain. Sel biru = keluaran simulasi 100.000 tahun.</t>
  </si>
  <si>
    <t>Ukuran</t>
  </si>
  <si>
    <t>Sekarang</t>
  </si>
  <si>
    <t>Modal saja</t>
  </si>
  <si>
    <t>Solusi</t>
  </si>
  <si>
    <t>Keterangan</t>
  </si>
  <si>
    <t>Strategi</t>
  </si>
  <si>
    <t>S0_dasar</t>
  </si>
  <si>
    <t>S21_zona_batas10</t>
  </si>
  <si>
    <t>Kode strategi pada model bencana</t>
  </si>
  <si>
    <t>Rasio solvabilitas awal</t>
  </si>
  <si>
    <t>Tingkat Solvabilitas dibagi MMBR</t>
  </si>
  <si>
    <t>Ekuitas</t>
  </si>
  <si>
    <t>Dana pemegang saham yang tertanam</t>
  </si>
  <si>
    <t>MMBR</t>
  </si>
  <si>
    <t>SEOJK 24/2017, lima modul</t>
  </si>
  <si>
    <t>Premi</t>
  </si>
  <si>
    <t>Setelah premi gempa yang dilepas</t>
  </si>
  <si>
    <t>Hasil underwriting non-bencana, rata-rata</t>
  </si>
  <si>
    <t>Hasil investasi, rata-rata</t>
  </si>
  <si>
    <t>Kerugian bencana, rata-rata</t>
  </si>
  <si>
    <t>Kerugian bencana, VaR 99,5%</t>
  </si>
  <si>
    <t>Kerugian setahun yang terlampaui 1 dari 200 tahun</t>
  </si>
  <si>
    <t>Kerugian bencana, TVaR 99,5%</t>
  </si>
  <si>
    <t>Rata-rata kerugian pada 0,5% tahun terburuk</t>
  </si>
  <si>
    <t>Klaim satu kejadian, VaR 99,5%</t>
  </si>
  <si>
    <t>Dasar ukuran kantong likuiditas</t>
  </si>
  <si>
    <t>Laba bersih harapan</t>
  </si>
  <si>
    <t>Setelah pajak</t>
  </si>
  <si>
    <t>P(R &lt; 100%), kurva campuran</t>
  </si>
  <si>
    <t>Kendala C1: paling besar 0,50%</t>
  </si>
  <si>
    <t>P(R &lt; 100%), kurva Aulady &amp; Fujimi</t>
  </si>
  <si>
    <t>Kendala C2: paling besar 0,50%</t>
  </si>
  <si>
    <t>P(R &lt; 0%)</t>
  </si>
  <si>
    <t>AYD lebih kecil daripada liabilitas</t>
  </si>
  <si>
    <t>Defisit harapan pemegang polis</t>
  </si>
  <si>
    <t>Rata-rata kekurangan AYD terhadap liabilitas</t>
  </si>
  <si>
    <t>Rasio setelah skenario megathrust</t>
  </si>
  <si>
    <t>Kendala C3: paling rendah 100%</t>
  </si>
  <si>
    <t>Aset siap cair</t>
  </si>
  <si>
    <t>Kas, deposito, SBN</t>
  </si>
  <si>
    <t>Turunan (rumus)</t>
  </si>
  <si>
    <t>Laba ekonomi = laba bersih - biaya modal x ekuitas</t>
  </si>
  <si>
    <t>Nilai bersih = laba ekonomi - defisit harapan</t>
  </si>
  <si>
    <t>Periode ulang pelanggaran (tahun)</t>
  </si>
  <si>
    <t>Rasio klaim gempa harapan terhadap premi gempa penuh</t>
  </si>
  <si>
    <t>Ekuitas (Rp miliar)</t>
  </si>
  <si>
    <t>Laba bersih harapan (Rp miliar)</t>
  </si>
  <si>
    <t>Kerugian 1 dalam 200 tahun (Rp miliar)</t>
  </si>
  <si>
    <t>Matematika keuangan: dari syarat polis ke laba dan likuiditas</t>
  </si>
  <si>
    <t>Per 100 premi dicatat. Rumus menelusuri angka model langkah demi langkah.</t>
  </si>
  <si>
    <t>No</t>
  </si>
  <si>
    <t>Langkah</t>
  </si>
  <si>
    <t>Rumus dalam kata</t>
  </si>
  <si>
    <t>Premi gempa pada polis standar</t>
  </si>
  <si>
    <t>E x tarif per mil / 1.000 x 100</t>
  </si>
  <si>
    <t>Premi gempa yang terkena syarat strategi terpilih</t>
  </si>
  <si>
    <t>(1) x porsi premi yang terkena syarat</t>
  </si>
  <si>
    <t>Premi yang dilepas karena syarat (Batas 10% di zona inti)</t>
  </si>
  <si>
    <t>(2) x (1 - skala premi loss limit)</t>
  </si>
  <si>
    <t>Komisi yang ikut turun</t>
  </si>
  <si>
    <t>(3) x komisi</t>
  </si>
  <si>
    <t>Kerugian bencana harapan yang turun</t>
  </si>
  <si>
    <t>Rata-rata kerugian sekarang - solusi</t>
  </si>
  <si>
    <t>Hasil underwriting sebelum pajak yang dilepas</t>
  </si>
  <si>
    <t>(3) - (4) - (5)</t>
  </si>
  <si>
    <t>(6) x (1 - tarif pajak)</t>
  </si>
  <si>
    <t>Tambahan hasil investasi atas tambahan ekuitas, setelah pajak</t>
  </si>
  <si>
    <t>Selisih hasil investasi x (1 - tarif pajak)</t>
  </si>
  <si>
    <t>Laba bersih yang dilepas menurut rumus</t>
  </si>
  <si>
    <t>(7) - (8)</t>
  </si>
  <si>
    <t>Laba bersih yang dilepas menurut simulasi</t>
  </si>
  <si>
    <t>Laba bersih sekarang - solusi</t>
  </si>
  <si>
    <t>Selisih rumus dan simulasi</t>
  </si>
  <si>
    <t>Timbul karena pajak hanya dikenakan pada tahun laba</t>
  </si>
  <si>
    <t>Penyangga modal</t>
  </si>
  <si>
    <t>Tambahan ekuitas dari 120% ke target solusi</t>
  </si>
  <si>
    <t>Ekuitas solusi - ekuitas sekarang</t>
  </si>
  <si>
    <t>Porsi laba bersih setahun yang perlu ditahan</t>
  </si>
  <si>
    <t>(12) / laba bersih solusi</t>
  </si>
  <si>
    <t>Ekuitas yang dihemat dibanding jalan modal saja</t>
  </si>
  <si>
    <t>Ekuitas modal saja - ekuitas solusi</t>
  </si>
  <si>
    <t>Ekuitas solusi sebagai porsi ekuitas modal saja</t>
  </si>
  <si>
    <t>Tambahan ekuitas (Rp miliar)</t>
  </si>
  <si>
    <t>x skala</t>
  </si>
  <si>
    <t>Ekuitas yang dihemat (Rp miliar)</t>
  </si>
  <si>
    <t>Kantong likuiditas bencana: kas dan deposito lawan klaim satu kejadian 1 dalam 200 tahun</t>
  </si>
  <si>
    <t>Varian profil Konservatif</t>
  </si>
  <si>
    <t>Kas</t>
  </si>
  <si>
    <t>Deposito</t>
  </si>
  <si>
    <t>Kas + deposito</t>
  </si>
  <si>
    <t>Klaim satu kejadian</t>
  </si>
  <si>
    <t>Cakupan</t>
  </si>
  <si>
    <t>Cukup?</t>
  </si>
  <si>
    <t>SBN 80%, deposito 20%</t>
  </si>
  <si>
    <t>SBN 75%, deposito 25%</t>
  </si>
  <si>
    <t>SBN 70%, deposito 30%</t>
  </si>
  <si>
    <t>Kas dan deposito dicairkan tanpa menjual SBN. Varian yang cakupannya paling sedikit 100% menjadi pilihan alokasi.</t>
  </si>
  <si>
    <t>Analisis biaya-manfaat</t>
  </si>
  <si>
    <t>Rp miliar pada skala premi di lembar Asumsi.</t>
  </si>
  <si>
    <t>A. Solusi lawan jalan modal saja (dua cara mencapai tingkat keamanan yang sama)</t>
  </si>
  <si>
    <t>Arus kas inkremental</t>
  </si>
  <si>
    <t>Tahun 0</t>
  </si>
  <si>
    <t>Tahun 1</t>
  </si>
  <si>
    <t>Tahun 2</t>
  </si>
  <si>
    <t>Tahun 3</t>
  </si>
  <si>
    <t>Tahun 4</t>
  </si>
  <si>
    <t>Tahun 5</t>
  </si>
  <si>
    <t>Ekuitas yang tidak perlu disetor</t>
  </si>
  <si>
    <t>Disetor di awal pada jalan modal saja, kembali di akhir horizon</t>
  </si>
  <si>
    <t>Laba bersih yang dilepas</t>
  </si>
  <si>
    <t>Premi gempa dilepas dan hasil investasi atas modal yang tidak ditahan</t>
  </si>
  <si>
    <t>Defisit harapan pemegang polis yang dihindari</t>
  </si>
  <si>
    <t>Dihitung bila sakelar di lembar Asumsi bernilai 1</t>
  </si>
  <si>
    <t>Biaya pelaksanaan awal</t>
  </si>
  <si>
    <t>Mesin akumulasi, penyesuaian produk, pelatihan</t>
  </si>
  <si>
    <t>Biaya operasi tahunan</t>
  </si>
  <si>
    <t>Tim, data, validasi</t>
  </si>
  <si>
    <t>Arus kas bersih</t>
  </si>
  <si>
    <t>Faktor diskonto</t>
  </si>
  <si>
    <t>Nilai kini</t>
  </si>
  <si>
    <t>Nilai kini bersih (NPV)</t>
  </si>
  <si>
    <t>Positif berarti solusi lebih murah daripada modal saja</t>
  </si>
  <si>
    <t>Biaya setara modal dari solusi</t>
  </si>
  <si>
    <t>Tingkat diskonto yang membuat NPV nol; bandingkan dengan biaya modal</t>
  </si>
  <si>
    <t>Biaya modal (asumsi)</t>
  </si>
  <si>
    <t>Nilai kini manfaat</t>
  </si>
  <si>
    <t>Ekuitas tidak disetor dan defisit yang dihindari</t>
  </si>
  <si>
    <t>Nilai kini biaya</t>
  </si>
  <si>
    <t>Laba dilepas, biaya pelaksanaan, pengembalian ekuitas</t>
  </si>
  <si>
    <t>Rasio manfaat terhadap biaya</t>
  </si>
  <si>
    <t>Di atas 1 berarti manfaat lebih besar</t>
  </si>
  <si>
    <t>Keputusan</t>
  </si>
  <si>
    <t>B. Solusi lawan keadaan sekarang (yang tidak memenuhi ambang)</t>
  </si>
  <si>
    <t>Perubahan</t>
  </si>
  <si>
    <t>Laba ekonomi setahun (Rp miliar)</t>
  </si>
  <si>
    <t>Laba bersih dikurangi biaya modal</t>
  </si>
  <si>
    <t>Tambahan dapat dibentuk dari laba ditahan</t>
  </si>
  <si>
    <t>Ambang 0,50%</t>
  </si>
  <si>
    <t>Kerugian bencana TVaR 99,5% (Rp miliar)</t>
  </si>
  <si>
    <t>Defisit harapan pemegang polis (Rp miliar)</t>
  </si>
  <si>
    <t>Paling rendah 100%</t>
  </si>
  <si>
    <t>Biaya keamanan setahun (Rp miliar)</t>
  </si>
  <si>
    <t>Laba ekonomi yang dilepas, biaya operasi, dan anuitas biaya awal</t>
  </si>
  <si>
    <t>Biaya keamanan terhadap premi</t>
  </si>
  <si>
    <t>Biaya per 0,1 poin penurunan P(R &lt; 100%) (Rp miliar)</t>
  </si>
  <si>
    <t>C. Pembentukan penyangga dari laba ditahan</t>
  </si>
  <si>
    <t>Butir (Rp miliar)</t>
  </si>
  <si>
    <t>Ekuitas awal tahun</t>
  </si>
  <si>
    <t>Laba ditahan untuk penyangga</t>
  </si>
  <si>
    <t>Penyangga dibentuk dulu, baru laba dibagikan</t>
  </si>
  <si>
    <t>Laba yang dapat dibagikan</t>
  </si>
  <si>
    <t>Ekuitas akhir tahun</t>
  </si>
  <si>
    <t>Ekuitas sasaran</t>
  </si>
  <si>
    <t>D. Perspektif perusahaan, uji biaya dua kali, dan kerugian yang dialihkan (Rev. 2)</t>
  </si>
  <si>
    <t>Arus kas bersih, perspektif perusahaan</t>
  </si>
  <si>
    <t>Arus kas bersih tanpa suku defisit harapan pemegang polis (bukan arus kas pemegang saham)</t>
  </si>
  <si>
    <t>NPV perspektif perusahaan (tanpa suku defisit)</t>
  </si>
  <si>
    <t>Positif berarti solusi lebih murah daripada modal saja bagi pemegang saham</t>
  </si>
  <si>
    <t>Titik impas biaya modal, perspektif perusahaan</t>
  </si>
  <si>
    <t>Di atas titik ini solusi lebih murah</t>
  </si>
  <si>
    <t>Titik impas biaya modal, diperluas</t>
  </si>
  <si>
    <t>Sama dengan baris 15</t>
  </si>
  <si>
    <t>Arus kas bersih diperluas, biaya pelaksanaan dua kali</t>
  </si>
  <si>
    <t>NPV diperluas, biaya pelaksanaan dua kali</t>
  </si>
  <si>
    <t>Uji pengali biaya 2 (parameter_solusi.yaml)</t>
  </si>
  <si>
    <t>Arus kas bersih perusahaan, biaya pelaksanaan dua kali</t>
  </si>
  <si>
    <t>NPV perspektif perusahaan, biaya pelaksanaan dua kali</t>
  </si>
  <si>
    <t>Titik impas biaya modal diperluas, biaya dua kali</t>
  </si>
  <si>
    <t>Titik impas biaya modal perusahaan, biaya dua kali</t>
  </si>
  <si>
    <t>Kerugian dialihkan ke pemegang polis, rata-rata setahun (Rp miliar)</t>
  </si>
  <si>
    <t>Kerugian polis standar dikurangi kerugian strategi terpilih pada tahun simulasi yang sama</t>
  </si>
  <si>
    <t>Kerugian dialihkan pada 0,5% tahun terburuk (Rp miliar)</t>
  </si>
  <si>
    <t>Rata-rata pada tahun ekor polis standar</t>
  </si>
  <si>
    <t>Porsi kerugian ekor polis standar yang dialihkan</t>
  </si>
  <si>
    <t>Premi yang tidak lagi dibayar tertanggung setahun (Rp miliar)</t>
  </si>
  <si>
    <t>Premi gempa yang dilepas</t>
  </si>
  <si>
    <t>Kepekaan nilai kini bersih (solusi lawan modal saja)</t>
  </si>
  <si>
    <t>Rp miliar. Rumus tertutup: NPV = dE x (1 - v^n) - (dLaba - dDefisit + biaya tahunan) x a(n,k) - biaya awal.</t>
  </si>
  <si>
    <t>Masukan dasar (dari lembar lain)</t>
  </si>
  <si>
    <t>Ekuitas dihemat (dE)</t>
  </si>
  <si>
    <t>Laba bersih dilepas setahun (dLaba)</t>
  </si>
  <si>
    <t>Defisit dihindari setahun (dDefisit)</t>
  </si>
  <si>
    <t>Biaya awal</t>
  </si>
  <si>
    <t>1. Biaya modal</t>
  </si>
  <si>
    <t>NPV</t>
  </si>
  <si>
    <t>2. Horizon</t>
  </si>
  <si>
    <t>Horizon (tahun)</t>
  </si>
  <si>
    <t>3. Asumsi model (target tiap jalan dihitung ulang oleh simulasi)</t>
  </si>
  <si>
    <t>Kasus</t>
  </si>
  <si>
    <t>Target modal saja</t>
  </si>
  <si>
    <t>Target solusi</t>
  </si>
  <si>
    <t>Ekuitas modal saja</t>
  </si>
  <si>
    <t>Ekuitas solusi</t>
  </si>
  <si>
    <t>Laba modal saja</t>
  </si>
  <si>
    <t>Laba solusi</t>
  </si>
  <si>
    <t>Defisit modal saja</t>
  </si>
  <si>
    <t>Defisit solusi</t>
  </si>
  <si>
    <t>NPV (Rp miliar)</t>
  </si>
  <si>
    <t>Ekuitas solusi / modal saja</t>
  </si>
  <si>
    <t>Dasar</t>
  </si>
  <si>
    <t>Eksposur per premi 122</t>
  </si>
  <si>
    <t>Eksposur per premi 188</t>
  </si>
  <si>
    <t>Biaya akuisisi 15% premi</t>
  </si>
  <si>
    <t>Rasio klaim non-bencana 29,5%</t>
  </si>
  <si>
    <t>Titik impas biaya modal (NPV = 0) pada kasus dasar</t>
  </si>
  <si>
    <t>Di atas titik ini solusi lebih murah daripada menambah modal; di bawahnya modal lebih murah.</t>
  </si>
  <si>
    <t>Uji skenario gempa (Scenario Analysis)</t>
  </si>
  <si>
    <t>Kerugian satu kejadian pada kurva campuran; underwriting dan investasi pada nilai harapan.</t>
  </si>
  <si>
    <t>Skenario</t>
  </si>
  <si>
    <t>Guncangan</t>
  </si>
  <si>
    <t>Jalan</t>
  </si>
  <si>
    <t>Rasio awal</t>
  </si>
  <si>
    <t>Kerugian (per 100 premi)</t>
  </si>
  <si>
    <t>Kerugian (Rp miliar)</t>
  </si>
  <si>
    <t>Rasio akhir</t>
  </si>
  <si>
    <t>Kekurangan kas (per 100 premi)</t>
  </si>
  <si>
    <t>Gempa dangkal dekat Timika M 7,5</t>
  </si>
  <si>
    <t>median</t>
  </si>
  <si>
    <t>median + 1 simpangan baku</t>
  </si>
  <si>
    <t>Megathrust Jawa bagian barat M 8,7</t>
  </si>
  <si>
    <t>Megathrust Mentawai M 8,9</t>
  </si>
  <si>
    <t>Sesar Lembang M 6,8</t>
  </si>
  <si>
    <t>Sesar Surabaya M 6,5</t>
  </si>
  <si>
    <t>Akar masalah: 5 Whys</t>
  </si>
  <si>
    <t>Dipilih karena ada satu rantai sebab yang dominan. Angka dari Hasil_Model dan simulasi.</t>
  </si>
  <si>
    <t>Masalah</t>
  </si>
  <si>
    <t>Pada target 120% peluang rasio solvabilitas jatuh di bawah 100% dalam setahun 0,71%, di atas ambang 0,5%.</t>
  </si>
  <si>
    <t>Mengapa 1</t>
  </si>
  <si>
    <t>Kerugian bencana 1 dalam 200 tahun 53 per 100 premi, sedangkan penyangga 20% di atas MMBR hanya 3,8 dan laba bersih setahun 26.</t>
  </si>
  <si>
    <t>Mengapa 2</t>
  </si>
  <si>
    <t>Seluruh eksposur gempa ditahan sendiri dan polis standar mengganti sampai nilai pertanggungan penuh; yang dipotong hanya risiko sendiri 2,5%.</t>
  </si>
  <si>
    <t>Mengapa 3</t>
  </si>
  <si>
    <t>Eksposur terkumpul. Lima provinsi memuat 62% eksposur dan sekitar 85% kerugian tahun ekor; 3,3% risiko memuat 82% eksposur.</t>
  </si>
  <si>
    <t>Mengapa 4</t>
  </si>
  <si>
    <t>MMBR menghitung risiko asuransi dari cadangan (25% CAPYBMP, 20% cadangan klaim), bukan dari eksposur bencana. Modul asuransi 16,3 per 100 premi.</t>
  </si>
  <si>
    <t>Mengapa 5</t>
  </si>
  <si>
    <t>Belum ada batas kerugian kontraktual di zona yang menumpuk, dan besar eksposur yang boleh ditahan belum dikaitkan dengan modal.</t>
  </si>
  <si>
    <t>Akar masalah</t>
  </si>
  <si>
    <t>Eksposur gempa yang terkumpul dan tidak berbatas belum terhubung dengan ukuran modal.</t>
  </si>
  <si>
    <t>Lalu apa</t>
  </si>
  <si>
    <t>Solusi harus membatasi kerugian per risiko di zona inti dan menetapkan target modal dari uji peluang serta uji skenario, bukan dari angka minimum regulasi.</t>
  </si>
  <si>
    <t>Prioritas strategi mitigasi: Impact-Effort Matrix</t>
  </si>
  <si>
    <t>Dampak = penurunan P(R &lt; 100%) pada target 120%; upaya = laba bersih yang dilepas. Keduanya keluaran simulasi.</t>
  </si>
  <si>
    <t>Upaya: laba dilepas (per 100 premi)</t>
  </si>
  <si>
    <t>P(R &lt; 100%)</t>
  </si>
  <si>
    <t>Dampak: penurunan peluang (poin persen)</t>
  </si>
  <si>
    <t>Kuadran</t>
  </si>
  <si>
    <t>S1_rs5</t>
  </si>
  <si>
    <t>Risiko sendiri 5%</t>
  </si>
  <si>
    <t>S2_rs10</t>
  </si>
  <si>
    <t>Risiko sendiri 10%</t>
  </si>
  <si>
    <t>S3_batas20</t>
  </si>
  <si>
    <t>Batas ganti rugi gempa 20% nilai pertanggungan per risiko</t>
  </si>
  <si>
    <t>S4_batas10</t>
  </si>
  <si>
    <t>Batas ganti rugi gempa 10% nilai pertanggungan per risiko</t>
  </si>
  <si>
    <t>S5_akumulasi10</t>
  </si>
  <si>
    <t>Batas akumulasi 10% per provinsi</t>
  </si>
  <si>
    <t>S6_koas50</t>
  </si>
  <si>
    <t>Koasuransi 50% di Jakarta, Jawa Barat, Banten</t>
  </si>
  <si>
    <t>S7_paketA</t>
  </si>
  <si>
    <t>Paket A: risiko sendiri 5%, batas 20%, akumulasi 10%</t>
  </si>
  <si>
    <t>S8_paketB</t>
  </si>
  <si>
    <t>Paket B: paket A dan koasuransi 50%</t>
  </si>
  <si>
    <t>S9_batas50</t>
  </si>
  <si>
    <t>Batas ganti rugi gempa 50%</t>
  </si>
  <si>
    <t>S10_batas40</t>
  </si>
  <si>
    <t>Batas ganti rugi gempa 40%</t>
  </si>
  <si>
    <t>S11_batas30</t>
  </si>
  <si>
    <t>Batas ganti rugi gempa 30%</t>
  </si>
  <si>
    <t>S12_batas25</t>
  </si>
  <si>
    <t>Batas ganti rugi gempa 25%</t>
  </si>
  <si>
    <t>S13_batas15</t>
  </si>
  <si>
    <t>Batas ganti rugi gempa 15%</t>
  </si>
  <si>
    <t>S14_batas20_akum10</t>
  </si>
  <si>
    <t>Batas 20% dan akumulasi 10% per provinsi</t>
  </si>
  <si>
    <t>S15_batas20_akum5</t>
  </si>
  <si>
    <t>Batas 20% dan akumulasi 5% per provinsi</t>
  </si>
  <si>
    <t>S16_batas10_akum5</t>
  </si>
  <si>
    <t>Batas 10% dan akumulasi 5% per provinsi</t>
  </si>
  <si>
    <t>S17_batas20_besar</t>
  </si>
  <si>
    <t>Batas 20% hanya untuk risiko di atas Rp50 miliar</t>
  </si>
  <si>
    <t>S18_batas20_besar_akum10</t>
  </si>
  <si>
    <t>Batas 20% risiko besar dan akumulasi 10% per provinsi</t>
  </si>
  <si>
    <t>S19_akum5</t>
  </si>
  <si>
    <t>Batas akumulasi 5% per provinsi</t>
  </si>
  <si>
    <t>S20_zona_batas20</t>
  </si>
  <si>
    <t>Batas 20% di zona inti</t>
  </si>
  <si>
    <t>Batas 10% di zona inti</t>
  </si>
  <si>
    <t>S22_zona_besar_batas20</t>
  </si>
  <si>
    <t>Batas 20% untuk risiko besar di zona inti</t>
  </si>
  <si>
    <t>S23_zona_batas20_akum10</t>
  </si>
  <si>
    <t>Batas 20% di zona inti dan akumulasi 10% per provinsi</t>
  </si>
  <si>
    <t>S24_zona_batas10_luar_batas30</t>
  </si>
  <si>
    <t>Batas berjenjang: 10% di zona inti, 30% di luar</t>
  </si>
  <si>
    <t>S25_zona_batas15</t>
  </si>
  <si>
    <t>Batas 15% di zona inti</t>
  </si>
  <si>
    <t>Batas upaya (median)</t>
  </si>
  <si>
    <t>Batas dampak (median)</t>
  </si>
  <si>
    <t>Batasan: risiko sendiri di atas 2,5% tampak tanpa biaya karena tabel tarif tidak memberi potongan premi; strategi itu tidak dijadikan calon.</t>
  </si>
  <si>
    <t>Analisis kelayakan empat aspek</t>
  </si>
  <si>
    <t>Skor 1 (lemah) sampai 5 (kuat) adalah penilaian penulis atas bukti di kolom D; bobot dapat diganti.</t>
  </si>
  <si>
    <t>Aspek</t>
  </si>
  <si>
    <t>Kriteria</t>
  </si>
  <si>
    <t>Lensa</t>
  </si>
  <si>
    <t>Bukti</t>
  </si>
  <si>
    <t>Skor</t>
  </si>
  <si>
    <t>Bobot</t>
  </si>
  <si>
    <t>Skor x bobot</t>
  </si>
  <si>
    <t>Syarat agar tetap layak</t>
  </si>
  <si>
    <t>Operasional</t>
  </si>
  <si>
    <t>Perubahan produk terbatas</t>
  </si>
  <si>
    <t>feasible</t>
  </si>
  <si>
    <t>Hanya dasar nilai pertanggungan jaminan gempa di lima provinsi yang berubah; jaminan kebakaran tetap nilai penuh.</t>
  </si>
  <si>
    <t>Berlaku saat polis baru dan perpanjangan</t>
  </si>
  <si>
    <t>Data lokasi polis tersedia</t>
  </si>
  <si>
    <t>Zona tarif gempa sudah ditetapkan per kabupaten/kota, jadi alamat risiko sudah dicatat.</t>
  </si>
  <si>
    <t>Koordinat wajib untuk nilai pertanggungan di atas Rp50 miliar</t>
  </si>
  <si>
    <t>Penerimaan nasabah dan pialang</t>
  </si>
  <si>
    <t>desirable</t>
  </si>
  <si>
    <t>Premi gempa turun 40% menurut skala loss limit; kreditur dapat menuntut nilai penuh.</t>
  </si>
  <si>
    <t>Lapisan di atas batas ditawarkan lewat koasuransi dengan penanggung lain</t>
  </si>
  <si>
    <t>Sumber daya manusia</t>
  </si>
  <si>
    <t>Tim tiga orang (aktuaris, analis bahaya, analis data).</t>
  </si>
  <si>
    <t>Pelatihan underwriter dan pemasaran</t>
  </si>
  <si>
    <t>Hukum dan regulasi</t>
  </si>
  <si>
    <t>Dasar nilai pertanggungan first loss</t>
  </si>
  <si>
    <t>SEOJK 6/2017 Bagian VI angka 1 huruf a membolehkan first loss/sub limit basis untuk asuransi gempa.</t>
  </si>
  <si>
    <t>Nilai deklarasi sama dengan nilai sebenarnya</t>
  </si>
  <si>
    <t>Tarif premi</t>
  </si>
  <si>
    <t>Skala premi polis loss limit ada di SEOJK 6/2017 Lampiran III Tabel III.B.</t>
  </si>
  <si>
    <t>Tarif zona tetap dipakai</t>
  </si>
  <si>
    <t>Target solvabilitas internal</t>
  </si>
  <si>
    <t>POJK 26/2025 Pasal 3 meminta target paling rendah 120% dengan memperhitungkan profil risiko dan hasil stress test.</t>
  </si>
  <si>
    <t>Target dan dasarnya disetujui direksi dan dewan komisaris</t>
  </si>
  <si>
    <t>Batas investasi</t>
  </si>
  <si>
    <t>Profil Konservatif memenuhi seluruh batas AYD Pasal 15 POJK 26/2025.</t>
  </si>
  <si>
    <t>Deposito paling banyak 20% per bank</t>
  </si>
  <si>
    <t>Teknologi</t>
  </si>
  <si>
    <t>Mesin simulasi</t>
  </si>
  <si>
    <t>Model berbasis kejadian dan simulasi neraca sudah berjalan: 100.000 tahun dalam hitungan menit di komputer biasa, dengan R dan Python.</t>
  </si>
  <si>
    <t>Kode dan data diarsipkan; uji otomatis dijalankan tiap pembaruan</t>
  </si>
  <si>
    <t>Data</t>
  </si>
  <si>
    <t>Katalog USGS, statistik MAIPARK, dan statistik OJK terbuka dan diperbarui berkala.</t>
  </si>
  <si>
    <t>Data polis sendiri menggantikan sebaran industri</t>
  </si>
  <si>
    <t>Ketepatan model</t>
  </si>
  <si>
    <t>Uji balik menunjukkan model di bawah klaim nyata untuk gempa dekat sumber; kurva kerentanan memberi rentang lebar.</t>
  </si>
  <si>
    <t>Kalibrasi tahunan dan validasi independen; target memuat kurva terberat</t>
  </si>
  <si>
    <t>Modal</t>
  </si>
  <si>
    <t>Tambahan ekuitas</t>
  </si>
  <si>
    <t>viable</t>
  </si>
  <si>
    <t>Tambahan 13,5 per 100 premi, 57% laba bersih setahun.</t>
  </si>
  <si>
    <t>Laba ditahan sampai penyangga terbentuk</t>
  </si>
  <si>
    <t>Hemat modal</t>
  </si>
  <si>
    <t>Ekuitas 36,4 lawan 63,8 pada jalan modal saja.</t>
  </si>
  <si>
    <t>Batas ganti rugi tetap berlaku</t>
  </si>
  <si>
    <t>Nilai ekonomi</t>
  </si>
  <si>
    <t>Nilai kini bersih terhadap jalan modal saja bergantung pada biaya modal; lihat lembar Sensitivitas.</t>
  </si>
  <si>
    <t>Biaya modal di atas titik impas</t>
  </si>
  <si>
    <t>Ringkasan per aspek</t>
  </si>
  <si>
    <t>Jumlah bobot</t>
  </si>
  <si>
    <t>Skor rata-rata tertimbang</t>
  </si>
  <si>
    <t>Putusan</t>
  </si>
  <si>
    <t>Seluruh aspek</t>
  </si>
  <si>
    <t>Risiko pelaksanaan: Risk Matrix</t>
  </si>
  <si>
    <t>Kemungkinan dan dampak berskala 1 sampai 5 (penilaian penulis). Nilai = kemungkinan x dampak.</t>
  </si>
  <si>
    <t>Risiko</t>
  </si>
  <si>
    <t>Penyebab</t>
  </si>
  <si>
    <t>Kemungkinan</t>
  </si>
  <si>
    <t>Dampak</t>
  </si>
  <si>
    <t>Tingkat</t>
  </si>
  <si>
    <t>Tanggapan</t>
  </si>
  <si>
    <t>Pemilik</t>
  </si>
  <si>
    <t>Nasabah besar menolak batas ganti rugi</t>
  </si>
  <si>
    <t>Kreditur mensyaratkan pertanggungan nilai penuh</t>
  </si>
  <si>
    <t>Lapisan di atas batas ditempatkan pada penanggung lain lewat koasuransi; mulai dari perpanjangan</t>
  </si>
  <si>
    <t>Underwriting</t>
  </si>
  <si>
    <t>Model meleset dari klaim nyata</t>
  </si>
  <si>
    <t>Kurva kerentanan dan eksposur per premi tidak pasti</t>
  </si>
  <si>
    <t>Target memuat kurva terberat; kalibrasi tahunan; validasi independen; rentang target 160% sampai 195%</t>
  </si>
  <si>
    <t>Aktuaria</t>
  </si>
  <si>
    <t>Premi hilang lebih besar dari perkiraan</t>
  </si>
  <si>
    <t>Nasabah memindahkan seluruh polis, bukan hanya jaminan gempa</t>
  </si>
  <si>
    <t>Pantau retensi per pialang; paket harga jaminan kebakaran</t>
  </si>
  <si>
    <t>Pemasaran</t>
  </si>
  <si>
    <t>Data lokasi tidak akurat</t>
  </si>
  <si>
    <t>Alamat tanpa koordinat; satu polis banyak lokasi</t>
  </si>
  <si>
    <t>Koordinat wajib untuk risiko besar; audit data per kuartal</t>
  </si>
  <si>
    <t>Operasi</t>
  </si>
  <si>
    <t>Gempa besar sebelum penyangga terbentuk</t>
  </si>
  <si>
    <t>Penyangga dibentuk dari laba tahun pertama</t>
  </si>
  <si>
    <t>Batas ganti rugi berlaku lebih dulu; pembagian laba ditunda</t>
  </si>
  <si>
    <t>Direksi</t>
  </si>
  <si>
    <t>Perubahan aturan permodalan</t>
  </si>
  <si>
    <t>Rancangan aturan modal baru berlaku bertahap mulai 2027</t>
  </si>
  <si>
    <t>Mesin simulasi memisahkan parameter regulasi; hitung ulang saat aturan terbit</t>
  </si>
  <si>
    <t>Kepatuhan</t>
  </si>
  <si>
    <t>Guncangan pasar bersamaan dengan bencana</t>
  </si>
  <si>
    <t>Penjualan aset saat harga turun</t>
  </si>
  <si>
    <t>Kantong likuiditas dari kas dan deposito; SBN bertenor pendek sampai menengah</t>
  </si>
  <si>
    <t>Investasi</t>
  </si>
  <si>
    <t>Jumlah risiko per tingkat</t>
  </si>
  <si>
    <t>Tinggi</t>
  </si>
  <si>
    <t>Sedang</t>
  </si>
  <si>
    <t>Rendah</t>
  </si>
  <si>
    <t>Pelaksanaan: Roadmap dan KPI</t>
  </si>
  <si>
    <t>Tahap</t>
  </si>
  <si>
    <t>Waktu</t>
  </si>
  <si>
    <t>Kegiatan</t>
  </si>
  <si>
    <t>Keluaran</t>
  </si>
  <si>
    <t>1. Dasar</t>
  </si>
  <si>
    <t>Triwulan IV 2026</t>
  </si>
  <si>
    <t>Persetujuan direksi dan dewan komisaris; basis data eksposur; mesin simulasi dipasang</t>
  </si>
  <si>
    <t>Kebijakan Geo-Solvency Shield; data polis bergeokode</t>
  </si>
  <si>
    <t>2. Produk</t>
  </si>
  <si>
    <t>Triwulan I 2027</t>
  </si>
  <si>
    <t>Klausul first loss untuk jaminan gempa di zona inti; pedoman underwriting; pelatihan</t>
  </si>
  <si>
    <t>Klausul dan tarif siap dipakai</t>
  </si>
  <si>
    <t>3. Berlaku bertahap</t>
  </si>
  <si>
    <t>Triwulan II 2027</t>
  </si>
  <si>
    <t>Batas ganti rugi berlaku untuk polis baru dan perpanjangan risiko di atas Rp50 miliar di zona inti</t>
  </si>
  <si>
    <t>Sekitar 82% eksposur zona inti berbatas pada akhir siklus perpanjangan</t>
  </si>
  <si>
    <t>4. Berlaku penuh</t>
  </si>
  <si>
    <t>Triwulan III sampai IV 2027</t>
  </si>
  <si>
    <t>Seluruh risiko zona inti; kantong likuiditas dibentuk; laba ditahan sampai target tercapai</t>
  </si>
  <si>
    <t>Rasio solvabilitas pada target; kas dan deposito menutup klaim satu kejadian</t>
  </si>
  <si>
    <t>5. Kalibrasi</t>
  </si>
  <si>
    <t>Tiap tahun mulai 2028</t>
  </si>
  <si>
    <t>Model dijalankan ulang dengan data polis dan klaim terbaru; validasi independen; target ditinjau</t>
  </si>
  <si>
    <t>Laporan akumulasi dan uji skenario untuk direksi</t>
  </si>
  <si>
    <t>Indikator kinerja</t>
  </si>
  <si>
    <t>Indikator</t>
  </si>
  <si>
    <t>Sasaran</t>
  </si>
  <si>
    <t>Sumber ukur</t>
  </si>
  <si>
    <t>P(R &lt; 100%) setahun, kurva campuran</t>
  </si>
  <si>
    <t>paling besar 0,50%</t>
  </si>
  <si>
    <t>Simulasi tahunan</t>
  </si>
  <si>
    <t>P(R &lt; 100%) setahun, kurva terberat</t>
  </si>
  <si>
    <t>Rasio solvabilitas</t>
  </si>
  <si>
    <t>paling rendah 190%</t>
  </si>
  <si>
    <t>Laporan bulanan</t>
  </si>
  <si>
    <t>paling rendah 100%</t>
  </si>
  <si>
    <t>Uji skenario per kuartal</t>
  </si>
  <si>
    <t>Eksposur zona inti yang berbatas</t>
  </si>
  <si>
    <t>100%</t>
  </si>
  <si>
    <t>Basis data polis</t>
  </si>
  <si>
    <t>Kas dan deposito terhadap klaim satu kejadian 1 dalam 200 tahun</t>
  </si>
  <si>
    <t>Laporan investasi</t>
  </si>
  <si>
    <t>Polis gempa dengan koordinat lokasi</t>
  </si>
  <si>
    <t>belum diukur</t>
  </si>
  <si>
    <t>paling rendah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</si>
</sst>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;&quot;-&quot;"/>
    <numFmt numFmtId="165" formatCode="#,##0.00;\(#,##0.00\);&quot;-&quot;"/>
    <numFmt numFmtId="166" formatCode="0.0%"/>
    <numFmt numFmtId="167" formatCode="0.0000"/>
    <numFmt numFmtId="168" formatCode="0.0"/>
    <numFmt numFmtId="169" formatCode="0.00%;\(0.00%\);&quot;-&quot;"/>
    <numFmt numFmtId="170" formatCode="0.000"/>
  </numFmts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name val="Arial"/>
    </font>
    <font>
      <sz val="10"/>
      <color rgb="FF000000"/>
      <name val="Arial"/>
    </font>
    <font>
      <i/>
      <sz val="9"/>
      <color rgb="FF555555"/>
      <name val="Arial"/>
    </font>
    <font>
      <sz val="10"/>
      <color rgb="FF0000FF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5" fillId="3" borderId="0" xfId="0" applyNumberFormat="1" applyFont="1" applyFill="1"/>
    <xf numFmtId="0" fontId="3" fillId="0" borderId="0" xfId="0" applyFont="1"/>
    <xf numFmtId="165" fontId="3" fillId="0" borderId="0" xfId="0" applyNumberFormat="1" applyFont="1"/>
    <xf numFmtId="166" fontId="5" fillId="3" borderId="0" xfId="0" applyNumberFormat="1" applyFont="1" applyFill="1"/>
    <xf numFmtId="1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167" fontId="5" fillId="0" borderId="0" xfId="0" applyNumberFormat="1" applyFont="1"/>
    <xf numFmtId="1" fontId="5" fillId="3" borderId="0" xfId="0" applyNumberFormat="1" applyFont="1" applyFill="1"/>
    <xf numFmtId="0" fontId="2" fillId="0" borderId="0" xfId="0" applyFont="1"/>
    <xf numFmtId="164" fontId="5" fillId="0" borderId="0" xfId="0" applyNumberFormat="1" applyFont="1"/>
    <xf numFmtId="164" fontId="2" fillId="0" borderId="0" xfId="0" applyNumberFormat="1" applyFont="1"/>
    <xf numFmtId="168" fontId="5" fillId="3" borderId="0" xfId="0" applyNumberFormat="1" applyFont="1" applyFill="1"/>
    <xf numFmtId="0" fontId="5" fillId="0" borderId="0" xfId="0" applyFont="1"/>
    <xf numFmtId="169" fontId="5" fillId="0" borderId="0" xfId="0" applyNumberFormat="1" applyFont="1"/>
    <xf numFmtId="165" fontId="3" fillId="4" borderId="0" xfId="0" applyNumberFormat="1" applyFont="1" applyFill="1"/>
    <xf numFmtId="1" fontId="3" fillId="0" borderId="0" xfId="0" applyNumberFormat="1" applyFont="1"/>
    <xf numFmtId="166" fontId="3" fillId="0" borderId="0" xfId="0" applyNumberFormat="1" applyFont="1"/>
    <xf numFmtId="164" fontId="3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4" fontId="6" fillId="0" borderId="0" xfId="0" applyNumberFormat="1" applyFont="1"/>
    <xf numFmtId="167" fontId="6" fillId="0" borderId="0" xfId="0" applyNumberFormat="1" applyFont="1"/>
    <xf numFmtId="164" fontId="2" fillId="4" borderId="0" xfId="0" applyNumberFormat="1" applyFont="1" applyFill="1"/>
    <xf numFmtId="169" fontId="2" fillId="4" borderId="0" xfId="0" applyNumberFormat="1" applyFont="1" applyFill="1"/>
    <xf numFmtId="170" fontId="2" fillId="4" borderId="0" xfId="0" applyNumberFormat="1" applyFont="1" applyFill="1"/>
    <xf numFmtId="0" fontId="2" fillId="4" borderId="0" xfId="0" applyFont="1" applyFill="1"/>
    <xf numFmtId="169" fontId="6" fillId="0" borderId="0" xfId="0" applyNumberFormat="1" applyFont="1"/>
    <xf numFmtId="169" fontId="3" fillId="0" borderId="0" xfId="0" applyNumberFormat="1" applyFont="1"/>
    <xf numFmtId="166" fontId="5" fillId="4" borderId="0" xfId="0" applyNumberFormat="1" applyFont="1" applyFill="1"/>
    <xf numFmtId="164" fontId="3" fillId="4" borderId="0" xfId="0" applyNumberFormat="1" applyFont="1" applyFill="1"/>
    <xf numFmtId="169" fontId="6" fillId="4" borderId="0" xfId="0" applyNumberFormat="1" applyFont="1" applyFill="1"/>
    <xf numFmtId="170" fontId="3" fillId="0" borderId="0" xfId="0" applyNumberFormat="1" applyFont="1"/>
    <xf numFmtId="2" fontId="3" fillId="0" borderId="0" xfId="0" applyNumberFormat="1" applyFont="1"/>
    <xf numFmtId="2" fontId="3" fillId="4" borderId="0" xfId="0" applyNumberFormat="1" applyFont="1" applyFill="1"/>
    <xf numFmtId="166" fontId="2" fillId="0" borderId="0" xfId="0" applyNumberFormat="1" applyFont="1"/>
    <xf numFmtId="2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Arus kas inkremental solusi lawan modal saja (Rp miliar)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Biaya_Manfaat!$A$10</c:f>
              <c:strCache>
                <c:ptCount val="1"/>
                <c:pt idx="0">
                  <c:v>Arus kas bersih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Biaya_Manfaat!$B$4:$G$4</c:f>
              <c:strCache>
                <c:ptCount val="6"/>
                <c:pt idx="0">
                  <c:v>Tahun 0</c:v>
                </c:pt>
                <c:pt idx="1">
                  <c:v>Tahun 1</c:v>
                </c:pt>
                <c:pt idx="2">
                  <c:v>Tahun 2</c:v>
                </c:pt>
                <c:pt idx="3">
                  <c:v>Tahun 3</c:v>
                </c:pt>
                <c:pt idx="4">
                  <c:v>Tahun 4</c:v>
                </c:pt>
                <c:pt idx="5">
                  <c:v>Tahun 5</c:v>
                </c:pt>
              </c:strCache>
            </c:strRef>
          </c:cat>
          <c:val>
            <c:numRef>
              <c:f>Biaya_Manfaat!$B$10:$G$10</c:f>
              <c:numCache>
                <c:formatCode>#,##0.0;\(#,##0.0\);"-"</c:formatCode>
                <c:ptCount val="6"/>
                <c:pt idx="0">
                  <c:v>268.02691439144803</c:v>
                </c:pt>
                <c:pt idx="1">
                  <c:v>-38.351636547792694</c:v>
                </c:pt>
                <c:pt idx="2">
                  <c:v>-38.351636547792694</c:v>
                </c:pt>
                <c:pt idx="3">
                  <c:v>-38.351636547792694</c:v>
                </c:pt>
                <c:pt idx="4">
                  <c:v>-38.351636547792694</c:v>
                </c:pt>
                <c:pt idx="5">
                  <c:v>-312.37855093924071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1-4D62-8B62-9824DFDE3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;\(#,##0.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Dampak lawan upaya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Strategi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Dampak_Upaya!$C$4:$C$28</c:f>
              <c:numCache>
                <c:formatCode>#,##0.00;\(#,##0.00\);"-"</c:formatCode>
                <c:ptCount val="25"/>
                <c:pt idx="0">
                  <c:v>-0.29165865368784338</c:v>
                </c:pt>
                <c:pt idx="1">
                  <c:v>-0.71589327948439774</c:v>
                </c:pt>
                <c:pt idx="2">
                  <c:v>3.155172419931763</c:v>
                </c:pt>
                <c:pt idx="3">
                  <c:v>4.0256686923676028</c:v>
                </c:pt>
                <c:pt idx="4">
                  <c:v>2.2697250693010571</c:v>
                </c:pt>
                <c:pt idx="5">
                  <c:v>2.6925119215457052</c:v>
                </c:pt>
                <c:pt idx="6">
                  <c:v>4.625732197430704</c:v>
                </c:pt>
                <c:pt idx="7">
                  <c:v>5.8823027490447899</c:v>
                </c:pt>
                <c:pt idx="8">
                  <c:v>1.780738460698633</c:v>
                </c:pt>
                <c:pt idx="9">
                  <c:v>2.0192219099185849</c:v>
                </c:pt>
                <c:pt idx="10">
                  <c:v>2.3652870607352381</c:v>
                </c:pt>
                <c:pt idx="11">
                  <c:v>2.6492606959655158</c:v>
                </c:pt>
                <c:pt idx="12">
                  <c:v>3.619048621497388</c:v>
                </c:pt>
                <c:pt idx="13">
                  <c:v>4.78502766959814</c:v>
                </c:pt>
                <c:pt idx="14">
                  <c:v>6.8690643383769006</c:v>
                </c:pt>
                <c:pt idx="15">
                  <c:v>7.3325580658210221</c:v>
                </c:pt>
                <c:pt idx="16">
                  <c:v>2.5867047628794988</c:v>
                </c:pt>
                <c:pt idx="17">
                  <c:v>4.3316525524215406</c:v>
                </c:pt>
                <c:pt idx="18">
                  <c:v>5.1705485076859894</c:v>
                </c:pt>
                <c:pt idx="19">
                  <c:v>2.100226910882828</c:v>
                </c:pt>
                <c:pt idx="20">
                  <c:v>2.6760111203695689</c:v>
                </c:pt>
                <c:pt idx="21">
                  <c:v>1.7224475425403689</c:v>
                </c:pt>
                <c:pt idx="22">
                  <c:v>3.7357662097032249</c:v>
                </c:pt>
                <c:pt idx="23">
                  <c:v>3.465124288137865</c:v>
                </c:pt>
                <c:pt idx="24">
                  <c:v>2.4078064908289072</c:v>
                </c:pt>
              </c:numCache>
            </c:numRef>
          </c:xVal>
          <c:yVal>
            <c:numRef>
              <c:f>Dampak_Upaya!$E$4:$E$28</c:f>
              <c:numCache>
                <c:formatCode>0.000</c:formatCode>
                <c:ptCount val="25"/>
                <c:pt idx="0">
                  <c:v>8.7999999999999967E-2</c:v>
                </c:pt>
                <c:pt idx="1">
                  <c:v>0.24600000000000005</c:v>
                </c:pt>
                <c:pt idx="2">
                  <c:v>0.245</c:v>
                </c:pt>
                <c:pt idx="3">
                  <c:v>0.42</c:v>
                </c:pt>
                <c:pt idx="4">
                  <c:v>5.1999999999999963E-2</c:v>
                </c:pt>
                <c:pt idx="5">
                  <c:v>4.2000000000000023E-2</c:v>
                </c:pt>
                <c:pt idx="6">
                  <c:v>0.38</c:v>
                </c:pt>
                <c:pt idx="7">
                  <c:v>0.39100000000000001</c:v>
                </c:pt>
                <c:pt idx="8">
                  <c:v>6.0000000000000157E-3</c:v>
                </c:pt>
                <c:pt idx="9">
                  <c:v>6.1000000000000026E-2</c:v>
                </c:pt>
                <c:pt idx="10">
                  <c:v>0.15500000000000003</c:v>
                </c:pt>
                <c:pt idx="11">
                  <c:v>0.19899999999999995</c:v>
                </c:pt>
                <c:pt idx="12">
                  <c:v>0.31599999999999995</c:v>
                </c:pt>
                <c:pt idx="13">
                  <c:v>0.309</c:v>
                </c:pt>
                <c:pt idx="14">
                  <c:v>0.379</c:v>
                </c:pt>
                <c:pt idx="15">
                  <c:v>0.51300000000000001</c:v>
                </c:pt>
                <c:pt idx="16">
                  <c:v>0.2</c:v>
                </c:pt>
                <c:pt idx="17">
                  <c:v>0.25800000000000001</c:v>
                </c:pt>
                <c:pt idx="18">
                  <c:v>0.10099999999999996</c:v>
                </c:pt>
                <c:pt idx="19">
                  <c:v>3.299999999999996E-2</c:v>
                </c:pt>
                <c:pt idx="20">
                  <c:v>0.14000000000000001</c:v>
                </c:pt>
                <c:pt idx="21">
                  <c:v>1.9000000000000006E-2</c:v>
                </c:pt>
                <c:pt idx="22">
                  <c:v>8.5999999999999965E-2</c:v>
                </c:pt>
                <c:pt idx="23">
                  <c:v>0.29699999999999993</c:v>
                </c:pt>
                <c:pt idx="24">
                  <c:v>6.8999999999999964E-2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A-4DAD-85AA-3E34136DC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Upaya: laba bersih dilepas (per 100 premi)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Dampak: penurunan peluang (poin persen)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/>
  </sheetViews>
  <sheetFormatPr defaultRowHeight="14.5" x14ac:dyDescent="0.35"/>
  <cols>
    <col min="1" max="1" width="20" customWidth="1"/>
    <col min="2" max="2" width="120" customWidth="1"/>
  </cols>
  <sheetData>
    <row r="1" spans="1:2" ht="16.5" x14ac:dyDescent="0.35">
      <c r="A1" s="1" t="s">
        <v>0</v>
      </c>
    </row>
    <row r="3" spans="1:2" x14ac:dyDescent="0.35">
      <c r="A3" s="2" t="s">
        <v>1</v>
      </c>
      <c r="B3" s="3" t="s">
        <v>2</v>
      </c>
    </row>
    <row r="4" spans="1:2" x14ac:dyDescent="0.35">
      <c r="A4" s="2" t="s">
        <v>3</v>
      </c>
      <c r="B4" s="3" t="s">
        <v>4</v>
      </c>
    </row>
    <row r="5" spans="1:2" x14ac:dyDescent="0.35">
      <c r="A5" s="2" t="s">
        <v>5</v>
      </c>
      <c r="B5" s="3" t="s">
        <v>6</v>
      </c>
    </row>
    <row r="6" spans="1:2" x14ac:dyDescent="0.35">
      <c r="A6" s="2" t="s">
        <v>7</v>
      </c>
      <c r="B6" s="3" t="s">
        <v>8</v>
      </c>
    </row>
    <row r="7" spans="1:2" x14ac:dyDescent="0.35">
      <c r="A7" s="2" t="s">
        <v>9</v>
      </c>
      <c r="B7" s="3" t="s">
        <v>10</v>
      </c>
    </row>
    <row r="8" spans="1:2" x14ac:dyDescent="0.35">
      <c r="A8" s="2" t="s">
        <v>11</v>
      </c>
      <c r="B8" s="3" t="s">
        <v>12</v>
      </c>
    </row>
    <row r="9" spans="1:2" ht="25" x14ac:dyDescent="0.35">
      <c r="A9" s="2" t="s">
        <v>13</v>
      </c>
      <c r="B9" s="3" t="s">
        <v>14</v>
      </c>
    </row>
    <row r="10" spans="1:2" ht="25" x14ac:dyDescent="0.35">
      <c r="A10" s="2" t="s">
        <v>15</v>
      </c>
      <c r="B10" s="3" t="s">
        <v>16</v>
      </c>
    </row>
    <row r="11" spans="1:2" ht="25" x14ac:dyDescent="0.35">
      <c r="A11" s="2" t="s">
        <v>17</v>
      </c>
      <c r="B11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workbookViewId="0"/>
  </sheetViews>
  <sheetFormatPr defaultRowHeight="14.5" x14ac:dyDescent="0.35"/>
  <cols>
    <col min="1" max="1" width="52" customWidth="1"/>
    <col min="2" max="2" width="14" customWidth="1"/>
    <col min="3" max="3" width="12" customWidth="1"/>
    <col min="4" max="4" width="11" customWidth="1"/>
    <col min="5" max="5" width="78" customWidth="1"/>
  </cols>
  <sheetData>
    <row r="1" spans="1:5" ht="16.5" x14ac:dyDescent="0.35">
      <c r="A1" s="1" t="s">
        <v>19</v>
      </c>
    </row>
    <row r="2" spans="1:5" x14ac:dyDescent="0.35">
      <c r="A2" s="4" t="s">
        <v>20</v>
      </c>
    </row>
    <row r="3" spans="1:5" x14ac:dyDescent="0.35">
      <c r="A3" s="5" t="s">
        <v>21</v>
      </c>
      <c r="B3" s="5" t="s">
        <v>22</v>
      </c>
      <c r="C3" s="5" t="s">
        <v>3</v>
      </c>
      <c r="D3" s="5" t="s">
        <v>23</v>
      </c>
      <c r="E3" s="5" t="s">
        <v>24</v>
      </c>
    </row>
    <row r="4" spans="1:5" ht="37.5" x14ac:dyDescent="0.35">
      <c r="A4" s="3" t="s">
        <v>25</v>
      </c>
      <c r="B4" s="6">
        <v>1000</v>
      </c>
      <c r="C4" s="7" t="s">
        <v>26</v>
      </c>
      <c r="D4" s="7" t="s">
        <v>27</v>
      </c>
      <c r="E4" s="3" t="s">
        <v>28</v>
      </c>
    </row>
    <row r="5" spans="1:5" x14ac:dyDescent="0.35">
      <c r="A5" s="3" t="s">
        <v>29</v>
      </c>
      <c r="B5" s="8">
        <f>B4/100</f>
        <v>10</v>
      </c>
      <c r="C5" s="7" t="s">
        <v>26</v>
      </c>
      <c r="D5" s="7" t="s">
        <v>30</v>
      </c>
      <c r="E5" s="3" t="s">
        <v>31</v>
      </c>
    </row>
    <row r="6" spans="1:5" ht="25" x14ac:dyDescent="0.35">
      <c r="A6" s="3" t="s">
        <v>32</v>
      </c>
      <c r="B6" s="9">
        <v>0.13</v>
      </c>
      <c r="C6" s="7" t="s">
        <v>33</v>
      </c>
      <c r="D6" s="7" t="s">
        <v>27</v>
      </c>
      <c r="E6" s="3" t="s">
        <v>34</v>
      </c>
    </row>
    <row r="7" spans="1:5" x14ac:dyDescent="0.35">
      <c r="A7" s="3" t="s">
        <v>35</v>
      </c>
      <c r="B7" s="10">
        <v>5</v>
      </c>
      <c r="C7" s="7" t="s">
        <v>36</v>
      </c>
      <c r="D7" s="7" t="s">
        <v>27</v>
      </c>
      <c r="E7" s="3" t="s">
        <v>37</v>
      </c>
    </row>
    <row r="8" spans="1:5" x14ac:dyDescent="0.35">
      <c r="A8" s="3" t="s">
        <v>38</v>
      </c>
      <c r="B8" s="11">
        <v>0.22</v>
      </c>
      <c r="C8" s="7"/>
      <c r="D8" s="7" t="s">
        <v>39</v>
      </c>
      <c r="E8" s="3" t="s">
        <v>40</v>
      </c>
    </row>
    <row r="9" spans="1:5" x14ac:dyDescent="0.35">
      <c r="A9" s="3" t="s">
        <v>41</v>
      </c>
      <c r="B9" s="12">
        <v>139.16</v>
      </c>
      <c r="C9" s="7" t="s">
        <v>42</v>
      </c>
      <c r="D9" s="7" t="s">
        <v>43</v>
      </c>
      <c r="E9" s="3" t="s">
        <v>44</v>
      </c>
    </row>
    <row r="10" spans="1:5" x14ac:dyDescent="0.35">
      <c r="A10" s="3" t="s">
        <v>45</v>
      </c>
      <c r="B10" s="13">
        <v>1.3498000000000001</v>
      </c>
      <c r="C10" s="7" t="s">
        <v>46</v>
      </c>
      <c r="D10" s="7" t="s">
        <v>43</v>
      </c>
      <c r="E10" s="3" t="s">
        <v>47</v>
      </c>
    </row>
    <row r="11" spans="1:5" ht="25" x14ac:dyDescent="0.35">
      <c r="A11" s="3" t="s">
        <v>48</v>
      </c>
      <c r="B11" s="11">
        <v>0.67012661463180101</v>
      </c>
      <c r="C11" s="7"/>
      <c r="D11" s="7" t="s">
        <v>43</v>
      </c>
      <c r="E11" s="3" t="s">
        <v>49</v>
      </c>
    </row>
    <row r="12" spans="1:5" x14ac:dyDescent="0.35">
      <c r="A12" s="3" t="s">
        <v>50</v>
      </c>
      <c r="B12" s="11">
        <v>0.6</v>
      </c>
      <c r="C12" s="7"/>
      <c r="D12" s="7" t="s">
        <v>39</v>
      </c>
      <c r="E12" s="3" t="s">
        <v>51</v>
      </c>
    </row>
    <row r="13" spans="1:5" x14ac:dyDescent="0.35">
      <c r="A13" s="3" t="s">
        <v>52</v>
      </c>
      <c r="B13" s="11">
        <v>0.08</v>
      </c>
      <c r="C13" s="7" t="s">
        <v>53</v>
      </c>
      <c r="D13" s="7" t="s">
        <v>43</v>
      </c>
      <c r="E13" s="3" t="s">
        <v>54</v>
      </c>
    </row>
    <row r="14" spans="1:5" x14ac:dyDescent="0.35">
      <c r="A14" s="3" t="s">
        <v>55</v>
      </c>
      <c r="B14" s="14">
        <v>1</v>
      </c>
      <c r="C14" s="7"/>
      <c r="D14" s="7" t="s">
        <v>27</v>
      </c>
      <c r="E14" s="3" t="s">
        <v>56</v>
      </c>
    </row>
    <row r="16" spans="1:5" x14ac:dyDescent="0.35">
      <c r="A16" s="15" t="s">
        <v>57</v>
      </c>
    </row>
    <row r="17" spans="1:5" x14ac:dyDescent="0.35">
      <c r="A17" s="7" t="s">
        <v>58</v>
      </c>
      <c r="B17" s="16">
        <v>4</v>
      </c>
      <c r="C17" s="7" t="s">
        <v>26</v>
      </c>
      <c r="D17" s="7" t="s">
        <v>27</v>
      </c>
      <c r="E17" s="3" t="s">
        <v>59</v>
      </c>
    </row>
    <row r="18" spans="1:5" x14ac:dyDescent="0.35">
      <c r="A18" s="7" t="s">
        <v>60</v>
      </c>
      <c r="B18" s="16">
        <v>1.5</v>
      </c>
      <c r="C18" s="7" t="s">
        <v>26</v>
      </c>
      <c r="D18" s="7" t="s">
        <v>27</v>
      </c>
      <c r="E18" s="3" t="s">
        <v>61</v>
      </c>
    </row>
    <row r="19" spans="1:5" x14ac:dyDescent="0.35">
      <c r="A19" s="7" t="s">
        <v>62</v>
      </c>
      <c r="B19" s="16">
        <v>0.5</v>
      </c>
      <c r="C19" s="7" t="s">
        <v>26</v>
      </c>
      <c r="D19" s="7" t="s">
        <v>27</v>
      </c>
      <c r="E19" s="3" t="s">
        <v>63</v>
      </c>
    </row>
    <row r="20" spans="1:5" x14ac:dyDescent="0.35">
      <c r="A20" s="15" t="s">
        <v>64</v>
      </c>
      <c r="B20" s="17">
        <f>SUM(B17:B19)</f>
        <v>6</v>
      </c>
    </row>
    <row r="21" spans="1:5" x14ac:dyDescent="0.35">
      <c r="A21" s="15" t="s">
        <v>65</v>
      </c>
    </row>
    <row r="22" spans="1:5" x14ac:dyDescent="0.35">
      <c r="A22" s="7" t="s">
        <v>66</v>
      </c>
      <c r="B22" s="16">
        <v>1.8</v>
      </c>
      <c r="C22" s="7" t="s">
        <v>26</v>
      </c>
      <c r="D22" s="7" t="s">
        <v>27</v>
      </c>
      <c r="E22" s="3" t="s">
        <v>67</v>
      </c>
    </row>
    <row r="23" spans="1:5" x14ac:dyDescent="0.35">
      <c r="A23" s="7" t="s">
        <v>68</v>
      </c>
      <c r="B23" s="16">
        <v>0.6</v>
      </c>
      <c r="C23" s="7" t="s">
        <v>26</v>
      </c>
      <c r="D23" s="7" t="s">
        <v>27</v>
      </c>
      <c r="E23" s="3" t="s">
        <v>69</v>
      </c>
    </row>
    <row r="24" spans="1:5" x14ac:dyDescent="0.35">
      <c r="A24" s="7" t="s">
        <v>70</v>
      </c>
      <c r="B24" s="16">
        <v>0.4</v>
      </c>
      <c r="C24" s="7" t="s">
        <v>26</v>
      </c>
      <c r="D24" s="7" t="s">
        <v>27</v>
      </c>
      <c r="E24" s="3" t="s">
        <v>71</v>
      </c>
    </row>
    <row r="25" spans="1:5" x14ac:dyDescent="0.35">
      <c r="A25" s="15" t="s">
        <v>72</v>
      </c>
      <c r="B25" s="17">
        <f>SUM(B22:B24)</f>
        <v>2.8</v>
      </c>
    </row>
    <row r="26" spans="1:5" x14ac:dyDescent="0.35">
      <c r="A26" s="7" t="s">
        <v>73</v>
      </c>
      <c r="B26" s="18">
        <v>1</v>
      </c>
      <c r="E26" s="3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showGridLines="0" workbookViewId="0"/>
  </sheetViews>
  <sheetFormatPr defaultRowHeight="14.5" x14ac:dyDescent="0.35"/>
  <cols>
    <col min="1" max="1" width="52" customWidth="1"/>
    <col min="2" max="4" width="15" customWidth="1"/>
    <col min="5" max="5" width="60" customWidth="1"/>
  </cols>
  <sheetData>
    <row r="1" spans="1:5" ht="16.5" x14ac:dyDescent="0.35">
      <c r="A1" s="1" t="s">
        <v>75</v>
      </c>
    </row>
    <row r="2" spans="1:5" x14ac:dyDescent="0.35">
      <c r="A2" s="4" t="s">
        <v>76</v>
      </c>
    </row>
    <row r="3" spans="1:5" x14ac:dyDescent="0.35">
      <c r="A3" s="5" t="s">
        <v>77</v>
      </c>
      <c r="B3" s="5" t="s">
        <v>78</v>
      </c>
      <c r="C3" s="5" t="s">
        <v>79</v>
      </c>
      <c r="D3" s="5" t="s">
        <v>80</v>
      </c>
      <c r="E3" s="5" t="s">
        <v>81</v>
      </c>
    </row>
    <row r="4" spans="1:5" x14ac:dyDescent="0.35">
      <c r="A4" s="7" t="s">
        <v>82</v>
      </c>
      <c r="B4" s="19" t="s">
        <v>83</v>
      </c>
      <c r="C4" s="19" t="s">
        <v>83</v>
      </c>
      <c r="D4" s="19" t="s">
        <v>84</v>
      </c>
      <c r="E4" s="3" t="s">
        <v>85</v>
      </c>
    </row>
    <row r="5" spans="1:5" x14ac:dyDescent="0.35">
      <c r="A5" s="7" t="s">
        <v>86</v>
      </c>
      <c r="B5" s="11">
        <v>1.2</v>
      </c>
      <c r="C5" s="11">
        <v>3.3</v>
      </c>
      <c r="D5" s="11">
        <v>1.9</v>
      </c>
      <c r="E5" s="3" t="s">
        <v>87</v>
      </c>
    </row>
    <row r="6" spans="1:5" x14ac:dyDescent="0.35">
      <c r="A6" s="7" t="s">
        <v>88</v>
      </c>
      <c r="B6" s="12">
        <v>22.897503929708591</v>
      </c>
      <c r="C6" s="12">
        <v>63.818891453314393</v>
      </c>
      <c r="D6" s="12">
        <v>36.41620001416959</v>
      </c>
      <c r="E6" s="3" t="s">
        <v>89</v>
      </c>
    </row>
    <row r="7" spans="1:5" x14ac:dyDescent="0.35">
      <c r="A7" s="7" t="s">
        <v>90</v>
      </c>
      <c r="B7" s="12">
        <v>19.08125327475717</v>
      </c>
      <c r="C7" s="12">
        <v>19.339058016155882</v>
      </c>
      <c r="D7" s="12">
        <v>19.16642106008927</v>
      </c>
      <c r="E7" s="3" t="s">
        <v>91</v>
      </c>
    </row>
    <row r="8" spans="1:5" x14ac:dyDescent="0.35">
      <c r="A8" s="7" t="s">
        <v>92</v>
      </c>
      <c r="B8" s="12">
        <v>100</v>
      </c>
      <c r="C8" s="12">
        <v>100</v>
      </c>
      <c r="D8" s="12">
        <v>94.964985775180821</v>
      </c>
      <c r="E8" s="3" t="s">
        <v>93</v>
      </c>
    </row>
    <row r="9" spans="1:5" x14ac:dyDescent="0.35">
      <c r="A9" s="7" t="s">
        <v>94</v>
      </c>
      <c r="B9" s="12">
        <v>30.01365197849702</v>
      </c>
      <c r="C9" s="12">
        <v>30.01365197849702</v>
      </c>
      <c r="D9" s="12">
        <v>25.381438891663379</v>
      </c>
      <c r="E9" s="3"/>
    </row>
    <row r="10" spans="1:5" x14ac:dyDescent="0.35">
      <c r="A10" s="7" t="s">
        <v>95</v>
      </c>
      <c r="B10" s="12">
        <v>5.906865034337649</v>
      </c>
      <c r="C10" s="12">
        <v>8.4830511524384988</v>
      </c>
      <c r="D10" s="12">
        <v>6.757927994202408</v>
      </c>
      <c r="E10" s="3"/>
    </row>
    <row r="11" spans="1:5" x14ac:dyDescent="0.35">
      <c r="A11" s="7" t="s">
        <v>96</v>
      </c>
      <c r="B11" s="12">
        <v>2.58320974129207</v>
      </c>
      <c r="C11" s="12">
        <v>2.58320974129207</v>
      </c>
      <c r="D11" s="12">
        <v>1.551180946973826</v>
      </c>
      <c r="E11" s="3"/>
    </row>
    <row r="12" spans="1:5" x14ac:dyDescent="0.35">
      <c r="A12" s="7" t="s">
        <v>97</v>
      </c>
      <c r="B12" s="12">
        <v>53.239601794400038</v>
      </c>
      <c r="C12" s="12">
        <v>53.239601794400038</v>
      </c>
      <c r="D12" s="12">
        <v>38.46862989060007</v>
      </c>
      <c r="E12" s="3" t="s">
        <v>98</v>
      </c>
    </row>
    <row r="13" spans="1:5" x14ac:dyDescent="0.35">
      <c r="A13" s="7" t="s">
        <v>99</v>
      </c>
      <c r="B13" s="12">
        <v>210.31247209672</v>
      </c>
      <c r="C13" s="12">
        <v>210.31247209672</v>
      </c>
      <c r="D13" s="12">
        <v>89.794417503280016</v>
      </c>
      <c r="E13" s="3" t="s">
        <v>100</v>
      </c>
    </row>
    <row r="14" spans="1:5" x14ac:dyDescent="0.35">
      <c r="A14" s="7" t="s">
        <v>101</v>
      </c>
      <c r="B14" s="12">
        <v>52.117707790400438</v>
      </c>
      <c r="C14" s="12">
        <v>52.117707790400438</v>
      </c>
      <c r="D14" s="12">
        <v>37.063905711000423</v>
      </c>
      <c r="E14" s="3" t="s">
        <v>102</v>
      </c>
    </row>
    <row r="15" spans="1:5" x14ac:dyDescent="0.35">
      <c r="A15" s="7" t="s">
        <v>103</v>
      </c>
      <c r="B15" s="12">
        <v>25.802608060848431</v>
      </c>
      <c r="C15" s="12">
        <v>27.81580769589355</v>
      </c>
      <c r="D15" s="12">
        <v>23.791474195699479</v>
      </c>
      <c r="E15" s="3" t="s">
        <v>104</v>
      </c>
    </row>
    <row r="16" spans="1:5" x14ac:dyDescent="0.35">
      <c r="A16" s="7" t="s">
        <v>105</v>
      </c>
      <c r="B16" s="20">
        <v>7.0899999999999999E-3</v>
      </c>
      <c r="C16" s="20">
        <v>2.8700000000000002E-3</v>
      </c>
      <c r="D16" s="20">
        <v>3.7399999999999998E-3</v>
      </c>
      <c r="E16" s="3" t="s">
        <v>106</v>
      </c>
    </row>
    <row r="17" spans="1:5" x14ac:dyDescent="0.35">
      <c r="A17" s="7" t="s">
        <v>107</v>
      </c>
      <c r="B17" s="20">
        <v>8.3700000000000007E-3</v>
      </c>
      <c r="C17" s="20">
        <v>3.5200000000000001E-3</v>
      </c>
      <c r="D17" s="20">
        <v>4.5199999999999997E-3</v>
      </c>
      <c r="E17" s="3" t="s">
        <v>108</v>
      </c>
    </row>
    <row r="18" spans="1:5" x14ac:dyDescent="0.35">
      <c r="A18" s="7" t="s">
        <v>109</v>
      </c>
      <c r="B18" s="20">
        <v>4.3499999999999997E-3</v>
      </c>
      <c r="C18" s="20">
        <v>2.2599999999999999E-3</v>
      </c>
      <c r="D18" s="20">
        <v>2.2499999999999998E-3</v>
      </c>
      <c r="E18" s="3" t="s">
        <v>110</v>
      </c>
    </row>
    <row r="19" spans="1:5" x14ac:dyDescent="0.35">
      <c r="A19" s="7" t="s">
        <v>111</v>
      </c>
      <c r="B19" s="12">
        <v>0.76196085533423075</v>
      </c>
      <c r="C19" s="12">
        <v>0.62718746285506599</v>
      </c>
      <c r="D19" s="12">
        <v>0.15801761744026441</v>
      </c>
      <c r="E19" s="3" t="s">
        <v>112</v>
      </c>
    </row>
    <row r="20" spans="1:5" x14ac:dyDescent="0.35">
      <c r="A20" s="7" t="s">
        <v>113</v>
      </c>
      <c r="B20" s="11">
        <v>-1.222120419381383</v>
      </c>
      <c r="C20" s="11">
        <v>1.043379898358096</v>
      </c>
      <c r="D20" s="11">
        <v>1.387630126870216</v>
      </c>
      <c r="E20" s="3" t="s">
        <v>114</v>
      </c>
    </row>
    <row r="21" spans="1:5" x14ac:dyDescent="0.35">
      <c r="A21" s="7" t="s">
        <v>115</v>
      </c>
      <c r="B21" s="12">
        <v>101.09750392970859</v>
      </c>
      <c r="C21" s="12">
        <v>142.01889145331441</v>
      </c>
      <c r="D21" s="12">
        <v>114.61620001416961</v>
      </c>
      <c r="E21" s="3" t="s">
        <v>116</v>
      </c>
    </row>
    <row r="23" spans="1:5" x14ac:dyDescent="0.35">
      <c r="A23" s="15" t="s">
        <v>117</v>
      </c>
    </row>
    <row r="24" spans="1:5" x14ac:dyDescent="0.35">
      <c r="A24" s="7" t="s">
        <v>118</v>
      </c>
      <c r="B24" s="21">
        <f>B15-Asumsi!$B$6*B6</f>
        <v>22.825932549986316</v>
      </c>
      <c r="C24" s="21">
        <f>C15-Asumsi!$B$6*C6</f>
        <v>19.519351806962678</v>
      </c>
      <c r="D24" s="21">
        <f>D15-Asumsi!$B$6*D6</f>
        <v>19.057368193857432</v>
      </c>
    </row>
    <row r="25" spans="1:5" x14ac:dyDescent="0.35">
      <c r="A25" s="7" t="s">
        <v>119</v>
      </c>
      <c r="B25" s="21">
        <f>B24-Asumsi!$B$14*B19</f>
        <v>22.063971694652086</v>
      </c>
      <c r="C25" s="21">
        <f>C24-Asumsi!$B$14*C19</f>
        <v>18.892164344107613</v>
      </c>
      <c r="D25" s="21">
        <f>D24-Asumsi!$B$14*D19</f>
        <v>18.899350576417167</v>
      </c>
    </row>
    <row r="26" spans="1:5" x14ac:dyDescent="0.35">
      <c r="A26" s="7" t="s">
        <v>120</v>
      </c>
      <c r="B26" s="22">
        <f>1/B16</f>
        <v>141.04372355430183</v>
      </c>
      <c r="C26" s="22">
        <f>1/C16</f>
        <v>348.43205574912889</v>
      </c>
      <c r="D26" s="22">
        <f>1/D16</f>
        <v>267.37967914438502</v>
      </c>
    </row>
    <row r="27" spans="1:5" x14ac:dyDescent="0.35">
      <c r="A27" s="7" t="s">
        <v>121</v>
      </c>
      <c r="B27" s="23">
        <f>B11/(Asumsi!$B$9*Asumsi!$B$10/10)</f>
        <v>0.13752315457485029</v>
      </c>
      <c r="C27" s="23">
        <f>C11/(Asumsi!$B$9*Asumsi!$B$10/10)</f>
        <v>0.13752315457485029</v>
      </c>
      <c r="D27" s="23">
        <f>D11/(Asumsi!$B$9*Asumsi!$B$10/10)</f>
        <v>8.258071101789205E-2</v>
      </c>
    </row>
    <row r="28" spans="1:5" x14ac:dyDescent="0.35">
      <c r="A28" s="7" t="s">
        <v>122</v>
      </c>
      <c r="B28" s="24">
        <f>B6*Asumsi!$B$5</f>
        <v>228.97503929708591</v>
      </c>
      <c r="C28" s="24">
        <f>C6*Asumsi!$B$5</f>
        <v>638.18891453314393</v>
      </c>
      <c r="D28" s="24">
        <f>D6*Asumsi!$B$5</f>
        <v>364.1620001416959</v>
      </c>
    </row>
    <row r="29" spans="1:5" x14ac:dyDescent="0.35">
      <c r="A29" s="7" t="s">
        <v>123</v>
      </c>
      <c r="B29" s="24">
        <f>B15*Asumsi!$B$5</f>
        <v>258.02608060848434</v>
      </c>
      <c r="C29" s="24">
        <f>C15*Asumsi!$B$5</f>
        <v>278.15807695893551</v>
      </c>
      <c r="D29" s="24">
        <f>D15*Asumsi!$B$5</f>
        <v>237.91474195699479</v>
      </c>
    </row>
    <row r="30" spans="1:5" x14ac:dyDescent="0.35">
      <c r="A30" s="7" t="s">
        <v>124</v>
      </c>
      <c r="B30" s="24">
        <f>B12*Asumsi!$B$5</f>
        <v>532.39601794400039</v>
      </c>
      <c r="C30" s="24">
        <f>C12*Asumsi!$B$5</f>
        <v>532.39601794400039</v>
      </c>
      <c r="D30" s="24">
        <f>D12*Asumsi!$B$5</f>
        <v>384.68629890600073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showGridLines="0" workbookViewId="0"/>
  </sheetViews>
  <sheetFormatPr defaultRowHeight="14.5" x14ac:dyDescent="0.35"/>
  <cols>
    <col min="1" max="1" width="6" customWidth="1"/>
    <col min="2" max="2" width="58" customWidth="1"/>
    <col min="3" max="3" width="15" customWidth="1"/>
    <col min="4" max="4" width="44" customWidth="1"/>
    <col min="5" max="5" width="15" customWidth="1"/>
    <col min="6" max="6" width="18" customWidth="1"/>
    <col min="7" max="7" width="11" customWidth="1"/>
    <col min="8" max="8" width="10" customWidth="1"/>
  </cols>
  <sheetData>
    <row r="1" spans="1:4" ht="16.5" x14ac:dyDescent="0.35">
      <c r="A1" s="1" t="s">
        <v>125</v>
      </c>
    </row>
    <row r="2" spans="1:4" x14ac:dyDescent="0.35">
      <c r="A2" s="4" t="s">
        <v>126</v>
      </c>
    </row>
    <row r="3" spans="1:4" x14ac:dyDescent="0.35">
      <c r="A3" s="5" t="s">
        <v>127</v>
      </c>
      <c r="B3" s="5" t="s">
        <v>128</v>
      </c>
      <c r="C3" s="5" t="s">
        <v>22</v>
      </c>
      <c r="D3" s="5" t="s">
        <v>129</v>
      </c>
    </row>
    <row r="4" spans="1:4" x14ac:dyDescent="0.35">
      <c r="A4" s="7">
        <v>1</v>
      </c>
      <c r="B4" s="3" t="s">
        <v>130</v>
      </c>
      <c r="C4" s="25">
        <f>Asumsi!$B$9*Asumsi!$B$10/10</f>
        <v>18.783816800000004</v>
      </c>
      <c r="D4" s="3" t="s">
        <v>131</v>
      </c>
    </row>
    <row r="5" spans="1:4" x14ac:dyDescent="0.35">
      <c r="A5" s="7">
        <v>2</v>
      </c>
      <c r="B5" s="3" t="s">
        <v>132</v>
      </c>
      <c r="C5" s="25">
        <f>C4*Asumsi!$B$11</f>
        <v>12.587535562047952</v>
      </c>
      <c r="D5" s="3" t="s">
        <v>133</v>
      </c>
    </row>
    <row r="6" spans="1:4" x14ac:dyDescent="0.35">
      <c r="A6" s="7">
        <v>3</v>
      </c>
      <c r="B6" s="3" t="s">
        <v>134</v>
      </c>
      <c r="C6" s="25">
        <f>C5*(1-Asumsi!$B$12)</f>
        <v>5.0350142248191814</v>
      </c>
      <c r="D6" s="3" t="s">
        <v>135</v>
      </c>
    </row>
    <row r="7" spans="1:4" x14ac:dyDescent="0.35">
      <c r="A7" s="7">
        <v>4</v>
      </c>
      <c r="B7" s="3" t="s">
        <v>136</v>
      </c>
      <c r="C7" s="25">
        <f>C6*Asumsi!$B$13</f>
        <v>0.40280113798553452</v>
      </c>
      <c r="D7" s="3" t="s">
        <v>137</v>
      </c>
    </row>
    <row r="8" spans="1:4" x14ac:dyDescent="0.35">
      <c r="A8" s="7">
        <v>5</v>
      </c>
      <c r="B8" s="3" t="s">
        <v>138</v>
      </c>
      <c r="C8" s="25">
        <f>Hasil_Model!B11-Hasil_Model!D11</f>
        <v>1.032028794318244</v>
      </c>
      <c r="D8" s="3" t="s">
        <v>139</v>
      </c>
    </row>
    <row r="9" spans="1:4" x14ac:dyDescent="0.35">
      <c r="A9" s="7">
        <v>6</v>
      </c>
      <c r="B9" s="3" t="s">
        <v>140</v>
      </c>
      <c r="C9" s="8">
        <f>C6-C7-C8</f>
        <v>3.6001842925154031</v>
      </c>
      <c r="D9" s="3" t="s">
        <v>141</v>
      </c>
    </row>
    <row r="10" spans="1:4" x14ac:dyDescent="0.35">
      <c r="A10" s="7">
        <v>7</v>
      </c>
      <c r="B10" s="3" t="s">
        <v>104</v>
      </c>
      <c r="C10" s="25">
        <f>C9*(1-Asumsi!$B$8)</f>
        <v>2.8081437481620144</v>
      </c>
      <c r="D10" s="3" t="s">
        <v>142</v>
      </c>
    </row>
    <row r="11" spans="1:4" x14ac:dyDescent="0.35">
      <c r="A11" s="7">
        <v>8</v>
      </c>
      <c r="B11" s="3" t="s">
        <v>143</v>
      </c>
      <c r="C11" s="25">
        <f>(Hasil_Model!D10-Hasil_Model!B10)*(1-Asumsi!$B$8)</f>
        <v>0.66382910869451206</v>
      </c>
      <c r="D11" s="3" t="s">
        <v>144</v>
      </c>
    </row>
    <row r="12" spans="1:4" x14ac:dyDescent="0.35">
      <c r="A12" s="7">
        <v>9</v>
      </c>
      <c r="B12" s="3" t="s">
        <v>145</v>
      </c>
      <c r="C12" s="8">
        <f>C10-C11</f>
        <v>2.1443146394675026</v>
      </c>
      <c r="D12" s="3" t="s">
        <v>146</v>
      </c>
    </row>
    <row r="13" spans="1:4" x14ac:dyDescent="0.35">
      <c r="A13" s="7">
        <v>10</v>
      </c>
      <c r="B13" s="3" t="s">
        <v>147</v>
      </c>
      <c r="C13" s="25">
        <f>Hasil_Model!B15-Hasil_Model!D15</f>
        <v>2.0111338651489525</v>
      </c>
      <c r="D13" s="3" t="s">
        <v>148</v>
      </c>
    </row>
    <row r="14" spans="1:4" ht="25" x14ac:dyDescent="0.35">
      <c r="A14" s="7">
        <v>11</v>
      </c>
      <c r="B14" s="3" t="s">
        <v>149</v>
      </c>
      <c r="C14" s="8">
        <f>C12-C13</f>
        <v>0.13318077431855002</v>
      </c>
      <c r="D14" s="3" t="s">
        <v>150</v>
      </c>
    </row>
    <row r="16" spans="1:4" x14ac:dyDescent="0.35">
      <c r="A16" s="15" t="s">
        <v>151</v>
      </c>
    </row>
    <row r="17" spans="1:8" x14ac:dyDescent="0.35">
      <c r="A17" s="7">
        <v>12</v>
      </c>
      <c r="B17" s="3" t="s">
        <v>152</v>
      </c>
      <c r="C17" s="25">
        <f>Hasil_Model!D6-Hasil_Model!B6</f>
        <v>13.518696084460998</v>
      </c>
      <c r="D17" s="3" t="s">
        <v>153</v>
      </c>
    </row>
    <row r="18" spans="1:8" x14ac:dyDescent="0.35">
      <c r="A18" s="7">
        <v>13</v>
      </c>
      <c r="B18" s="3" t="s">
        <v>154</v>
      </c>
      <c r="C18" s="26">
        <f>C17/Hasil_Model!D15</f>
        <v>0.56821599087393349</v>
      </c>
      <c r="D18" s="3" t="s">
        <v>155</v>
      </c>
    </row>
    <row r="19" spans="1:8" x14ac:dyDescent="0.35">
      <c r="A19" s="7">
        <v>14</v>
      </c>
      <c r="B19" s="3" t="s">
        <v>156</v>
      </c>
      <c r="C19" s="25">
        <f>Hasil_Model!C6-Hasil_Model!D6</f>
        <v>27.402691439144803</v>
      </c>
      <c r="D19" s="3" t="s">
        <v>157</v>
      </c>
    </row>
    <row r="20" spans="1:8" x14ac:dyDescent="0.35">
      <c r="A20" s="7">
        <v>15</v>
      </c>
      <c r="B20" s="3" t="s">
        <v>158</v>
      </c>
      <c r="C20" s="26">
        <f>Hasil_Model!D6/Hasil_Model!C6</f>
        <v>0.57061787168160438</v>
      </c>
      <c r="D20" s="3"/>
    </row>
    <row r="21" spans="1:8" x14ac:dyDescent="0.35">
      <c r="A21" s="7">
        <v>16</v>
      </c>
      <c r="B21" s="3" t="s">
        <v>159</v>
      </c>
      <c r="C21" s="27">
        <f>C17*Asumsi!$B$5</f>
        <v>135.18696084460998</v>
      </c>
      <c r="D21" s="3" t="s">
        <v>160</v>
      </c>
    </row>
    <row r="22" spans="1:8" x14ac:dyDescent="0.35">
      <c r="A22" s="7">
        <v>17</v>
      </c>
      <c r="B22" s="3" t="s">
        <v>161</v>
      </c>
      <c r="C22" s="27">
        <f>C19*Asumsi!$B$5</f>
        <v>274.02691439144803</v>
      </c>
      <c r="D22" s="3" t="s">
        <v>160</v>
      </c>
    </row>
    <row r="24" spans="1:8" x14ac:dyDescent="0.35">
      <c r="A24" s="15" t="s">
        <v>162</v>
      </c>
    </row>
    <row r="25" spans="1:8" x14ac:dyDescent="0.35">
      <c r="A25" s="5"/>
      <c r="B25" s="5" t="s">
        <v>163</v>
      </c>
      <c r="C25" s="5" t="s">
        <v>164</v>
      </c>
      <c r="D25" s="5" t="s">
        <v>165</v>
      </c>
      <c r="E25" s="5" t="s">
        <v>166</v>
      </c>
      <c r="F25" s="5" t="s">
        <v>167</v>
      </c>
      <c r="G25" s="5" t="s">
        <v>168</v>
      </c>
      <c r="H25" s="5" t="s">
        <v>169</v>
      </c>
    </row>
    <row r="26" spans="1:8" x14ac:dyDescent="0.35">
      <c r="B26" s="7" t="s">
        <v>170</v>
      </c>
      <c r="C26" s="12">
        <v>7.27</v>
      </c>
      <c r="D26" s="12">
        <v>21.382888651438481</v>
      </c>
      <c r="E26" s="8">
        <f>C26+D26</f>
        <v>28.652888651438481</v>
      </c>
      <c r="F26" s="25">
        <f>Hasil_Model!D14</f>
        <v>37.063905711000423</v>
      </c>
      <c r="G26" s="23">
        <f>E26/F26</f>
        <v>0.77306716876668546</v>
      </c>
      <c r="H26" s="7" t="str">
        <f>IF(G26&gt;=1,"Ya","Belum")</f>
        <v>Belum</v>
      </c>
    </row>
    <row r="27" spans="1:8" x14ac:dyDescent="0.35">
      <c r="B27" s="7" t="s">
        <v>171</v>
      </c>
      <c r="C27" s="12">
        <v>7.27</v>
      </c>
      <c r="D27" s="12">
        <v>26.78247165475619</v>
      </c>
      <c r="E27" s="8">
        <f>C27+D27</f>
        <v>34.052471654756189</v>
      </c>
      <c r="F27" s="25">
        <f>Hasil_Model!D14</f>
        <v>37.063905711000423</v>
      </c>
      <c r="G27" s="23">
        <f>E27/F27</f>
        <v>0.91875022347279356</v>
      </c>
      <c r="H27" s="7" t="str">
        <f>IF(G27&gt;=1,"Ya","Belum")</f>
        <v>Belum</v>
      </c>
    </row>
    <row r="28" spans="1:8" x14ac:dyDescent="0.35">
      <c r="B28" s="7" t="s">
        <v>172</v>
      </c>
      <c r="C28" s="12">
        <v>7.27</v>
      </c>
      <c r="D28" s="12">
        <v>32.203860004250878</v>
      </c>
      <c r="E28" s="8">
        <f>C28+D28</f>
        <v>39.473860004250881</v>
      </c>
      <c r="F28" s="25">
        <f>Hasil_Model!D14</f>
        <v>37.063905711000423</v>
      </c>
      <c r="G28" s="23">
        <f>E28/F28</f>
        <v>1.065021595728245</v>
      </c>
      <c r="H28" s="7" t="str">
        <f>IF(G28&gt;=1,"Ya","Belum")</f>
        <v>Ya</v>
      </c>
    </row>
    <row r="30" spans="1:8" x14ac:dyDescent="0.35">
      <c r="B30" s="4" t="s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showGridLines="0" workbookViewId="0"/>
  </sheetViews>
  <sheetFormatPr defaultRowHeight="14.5" x14ac:dyDescent="0.35"/>
  <cols>
    <col min="1" max="1" width="50" customWidth="1"/>
    <col min="2" max="7" width="14" customWidth="1"/>
    <col min="8" max="8" width="62" customWidth="1"/>
  </cols>
  <sheetData>
    <row r="1" spans="1:8" ht="16.5" x14ac:dyDescent="0.35">
      <c r="A1" s="1" t="s">
        <v>174</v>
      </c>
    </row>
    <row r="2" spans="1:8" x14ac:dyDescent="0.35">
      <c r="A2" s="4" t="s">
        <v>175</v>
      </c>
    </row>
    <row r="3" spans="1:8" x14ac:dyDescent="0.35">
      <c r="A3" s="15" t="s">
        <v>176</v>
      </c>
    </row>
    <row r="4" spans="1:8" x14ac:dyDescent="0.35">
      <c r="A4" s="5" t="s">
        <v>177</v>
      </c>
      <c r="B4" s="5" t="s">
        <v>178</v>
      </c>
      <c r="C4" s="5" t="s">
        <v>179</v>
      </c>
      <c r="D4" s="5" t="s">
        <v>180</v>
      </c>
      <c r="E4" s="5" t="s">
        <v>181</v>
      </c>
      <c r="F4" s="5" t="s">
        <v>182</v>
      </c>
      <c r="G4" s="5" t="s">
        <v>183</v>
      </c>
      <c r="H4" s="5" t="s">
        <v>81</v>
      </c>
    </row>
    <row r="5" spans="1:8" x14ac:dyDescent="0.35">
      <c r="A5" s="3" t="s">
        <v>184</v>
      </c>
      <c r="B5" s="27">
        <f>(Hasil_Model!C6-Hasil_Model!D6)*Asumsi!$B$5</f>
        <v>274.02691439144803</v>
      </c>
      <c r="C5" s="24">
        <v>0</v>
      </c>
      <c r="D5" s="24">
        <v>0</v>
      </c>
      <c r="E5" s="24">
        <v>0</v>
      </c>
      <c r="F5" s="24">
        <v>0</v>
      </c>
      <c r="G5" s="27">
        <f>-(Hasil_Model!C6-Hasil_Model!D6)*Asumsi!$B$5</f>
        <v>-274.02691439144803</v>
      </c>
      <c r="H5" s="3" t="s">
        <v>185</v>
      </c>
    </row>
    <row r="6" spans="1:8" x14ac:dyDescent="0.35">
      <c r="A6" s="3" t="s">
        <v>186</v>
      </c>
      <c r="B6" s="24">
        <v>0</v>
      </c>
      <c r="C6" s="27">
        <f>-(Hasil_Model!C15-Hasil_Model!D15)*Asumsi!$B$5</f>
        <v>-40.243335001940714</v>
      </c>
      <c r="D6" s="27">
        <f>-(Hasil_Model!C15-Hasil_Model!D15)*Asumsi!$B$5</f>
        <v>-40.243335001940714</v>
      </c>
      <c r="E6" s="27">
        <f>-(Hasil_Model!C15-Hasil_Model!D15)*Asumsi!$B$5</f>
        <v>-40.243335001940714</v>
      </c>
      <c r="F6" s="27">
        <f>-(Hasil_Model!C15-Hasil_Model!D15)*Asumsi!$B$5</f>
        <v>-40.243335001940714</v>
      </c>
      <c r="G6" s="27">
        <f>-(Hasil_Model!C15-Hasil_Model!D15)*Asumsi!$B$5</f>
        <v>-40.243335001940714</v>
      </c>
      <c r="H6" s="3" t="s">
        <v>187</v>
      </c>
    </row>
    <row r="7" spans="1:8" x14ac:dyDescent="0.35">
      <c r="A7" s="3" t="s">
        <v>188</v>
      </c>
      <c r="B7" s="24">
        <v>0</v>
      </c>
      <c r="C7" s="27">
        <f>(Hasil_Model!C19-Hasil_Model!D19)*Asumsi!$B$5*Asumsi!$B$14</f>
        <v>4.6916984541480158</v>
      </c>
      <c r="D7" s="27">
        <f>(Hasil_Model!C19-Hasil_Model!D19)*Asumsi!$B$5*Asumsi!$B$14</f>
        <v>4.6916984541480158</v>
      </c>
      <c r="E7" s="27">
        <f>(Hasil_Model!C19-Hasil_Model!D19)*Asumsi!$B$5*Asumsi!$B$14</f>
        <v>4.6916984541480158</v>
      </c>
      <c r="F7" s="27">
        <f>(Hasil_Model!C19-Hasil_Model!D19)*Asumsi!$B$5*Asumsi!$B$14</f>
        <v>4.6916984541480158</v>
      </c>
      <c r="G7" s="27">
        <f>(Hasil_Model!C19-Hasil_Model!D19)*Asumsi!$B$5*Asumsi!$B$14</f>
        <v>4.6916984541480158</v>
      </c>
      <c r="H7" s="3" t="s">
        <v>189</v>
      </c>
    </row>
    <row r="8" spans="1:8" x14ac:dyDescent="0.35">
      <c r="A8" s="3" t="s">
        <v>190</v>
      </c>
      <c r="B8" s="27">
        <f>-Asumsi!$B$20*Asumsi!$B$26</f>
        <v>-6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3" t="s">
        <v>191</v>
      </c>
    </row>
    <row r="9" spans="1:8" x14ac:dyDescent="0.35">
      <c r="A9" s="3" t="s">
        <v>192</v>
      </c>
      <c r="B9" s="24">
        <v>0</v>
      </c>
      <c r="C9" s="27">
        <f>-Asumsi!$B$25*Asumsi!$B$26</f>
        <v>-2.8</v>
      </c>
      <c r="D9" s="27">
        <f>-Asumsi!$B$25*Asumsi!$B$26</f>
        <v>-2.8</v>
      </c>
      <c r="E9" s="27">
        <f>-Asumsi!$B$25*Asumsi!$B$26</f>
        <v>-2.8</v>
      </c>
      <c r="F9" s="27">
        <f>-Asumsi!$B$25*Asumsi!$B$26</f>
        <v>-2.8</v>
      </c>
      <c r="G9" s="27">
        <f>-Asumsi!$B$25*Asumsi!$B$26</f>
        <v>-2.8</v>
      </c>
      <c r="H9" s="3" t="s">
        <v>193</v>
      </c>
    </row>
    <row r="10" spans="1:8" x14ac:dyDescent="0.35">
      <c r="A10" s="15" t="s">
        <v>194</v>
      </c>
      <c r="B10" s="17">
        <f t="shared" ref="B10:G10" si="0">SUM(B5:B9)</f>
        <v>268.02691439144803</v>
      </c>
      <c r="C10" s="17">
        <f t="shared" si="0"/>
        <v>-38.351636547792694</v>
      </c>
      <c r="D10" s="17">
        <f t="shared" si="0"/>
        <v>-38.351636547792694</v>
      </c>
      <c r="E10" s="17">
        <f t="shared" si="0"/>
        <v>-38.351636547792694</v>
      </c>
      <c r="F10" s="17">
        <f t="shared" si="0"/>
        <v>-38.351636547792694</v>
      </c>
      <c r="G10" s="17">
        <f t="shared" si="0"/>
        <v>-312.37855093924071</v>
      </c>
    </row>
    <row r="11" spans="1:8" x14ac:dyDescent="0.35">
      <c r="A11" s="7" t="s">
        <v>195</v>
      </c>
      <c r="B11" s="28">
        <f>1/(1+Asumsi!$B$6)^0</f>
        <v>1</v>
      </c>
      <c r="C11" s="28">
        <f>1/(1+Asumsi!$B$6)^1</f>
        <v>0.88495575221238942</v>
      </c>
      <c r="D11" s="28">
        <f>1/(1+Asumsi!$B$6)^2</f>
        <v>0.78314668337379612</v>
      </c>
      <c r="E11" s="28">
        <f>1/(1+Asumsi!$B$6)^3</f>
        <v>0.69305016227769578</v>
      </c>
      <c r="F11" s="28">
        <f>1/(1+Asumsi!$B$6)^4</f>
        <v>0.61331872767937679</v>
      </c>
      <c r="G11" s="28">
        <f>1/(1+Asumsi!$B$6)^5</f>
        <v>0.54275993599944861</v>
      </c>
    </row>
    <row r="12" spans="1:8" x14ac:dyDescent="0.35">
      <c r="A12" s="7" t="s">
        <v>196</v>
      </c>
      <c r="B12" s="24">
        <f t="shared" ref="B12:G12" si="1">B10*B11</f>
        <v>268.02691439144803</v>
      </c>
      <c r="C12" s="24">
        <f t="shared" si="1"/>
        <v>-33.939501369728049</v>
      </c>
      <c r="D12" s="24">
        <f t="shared" si="1"/>
        <v>-30.034956964361111</v>
      </c>
      <c r="E12" s="24">
        <f t="shared" si="1"/>
        <v>-26.579607933062935</v>
      </c>
      <c r="F12" s="24">
        <f t="shared" si="1"/>
        <v>-23.521776931914101</v>
      </c>
      <c r="G12" s="24">
        <f t="shared" si="1"/>
        <v>-169.54656231538277</v>
      </c>
    </row>
    <row r="14" spans="1:8" x14ac:dyDescent="0.35">
      <c r="A14" s="15" t="s">
        <v>197</v>
      </c>
      <c r="B14" s="29">
        <f>SUM(B12:G12)</f>
        <v>-15.595491123000926</v>
      </c>
      <c r="H14" s="3" t="s">
        <v>198</v>
      </c>
    </row>
    <row r="15" spans="1:8" x14ac:dyDescent="0.35">
      <c r="A15" s="15" t="s">
        <v>199</v>
      </c>
      <c r="B15" s="30">
        <f>IRR(B10:G10,0.1)</f>
        <v>0.14643245843128594</v>
      </c>
      <c r="H15" s="3" t="s">
        <v>200</v>
      </c>
    </row>
    <row r="16" spans="1:8" x14ac:dyDescent="0.35">
      <c r="A16" s="15" t="s">
        <v>201</v>
      </c>
      <c r="B16" s="30">
        <f>Asumsi!$B$6</f>
        <v>0.13</v>
      </c>
      <c r="H16" s="3"/>
    </row>
    <row r="17" spans="1:8" x14ac:dyDescent="0.35">
      <c r="A17" s="15" t="s">
        <v>202</v>
      </c>
      <c r="B17" s="29">
        <f>B5+NPV(Asumsi!$B$6,C7:G7)</f>
        <v>290.52870286410905</v>
      </c>
      <c r="H17" s="3" t="s">
        <v>203</v>
      </c>
    </row>
    <row r="18" spans="1:8" x14ac:dyDescent="0.35">
      <c r="A18" s="15" t="s">
        <v>204</v>
      </c>
      <c r="B18" s="29">
        <f>-(B8+NPV(Asumsi!$B$6,C6:G6)+NPV(Asumsi!$B$6,C9:G9)+G5*G11)</f>
        <v>306.12419398711</v>
      </c>
      <c r="H18" s="3" t="s">
        <v>205</v>
      </c>
    </row>
    <row r="19" spans="1:8" x14ac:dyDescent="0.35">
      <c r="A19" s="15" t="s">
        <v>206</v>
      </c>
      <c r="B19" s="31">
        <f>B17/B18</f>
        <v>0.94905501940281911</v>
      </c>
      <c r="H19" s="3" t="s">
        <v>207</v>
      </c>
    </row>
    <row r="20" spans="1:8" x14ac:dyDescent="0.35">
      <c r="A20" s="15" t="s">
        <v>208</v>
      </c>
      <c r="B20" s="32" t="str">
        <f>IF(B14&gt;0,"Solusi lebih murah daripada modal saja","Modal saja lebih murah; lihat lembar Sensitivitas")</f>
        <v>Modal saja lebih murah; lihat lembar Sensitivitas</v>
      </c>
      <c r="H20" s="3"/>
    </row>
    <row r="23" spans="1:8" x14ac:dyDescent="0.35">
      <c r="A23" s="15" t="s">
        <v>209</v>
      </c>
    </row>
    <row r="24" spans="1:8" x14ac:dyDescent="0.35">
      <c r="A24" s="5" t="s">
        <v>21</v>
      </c>
      <c r="B24" s="5" t="s">
        <v>78</v>
      </c>
      <c r="C24" s="5" t="s">
        <v>80</v>
      </c>
      <c r="D24" s="5" t="s">
        <v>210</v>
      </c>
      <c r="E24" s="5"/>
      <c r="F24" s="5"/>
      <c r="G24" s="5"/>
      <c r="H24" s="5" t="s">
        <v>81</v>
      </c>
    </row>
    <row r="25" spans="1:8" x14ac:dyDescent="0.35">
      <c r="A25" s="3" t="s">
        <v>211</v>
      </c>
      <c r="B25" s="27">
        <f>Hasil_Model!B24*Asumsi!$B$5</f>
        <v>228.25932549986317</v>
      </c>
      <c r="C25" s="27">
        <f>Hasil_Model!D24*Asumsi!$B$5</f>
        <v>190.57368193857431</v>
      </c>
      <c r="D25" s="24">
        <f t="shared" ref="D25:D31" si="2">C25-B25</f>
        <v>-37.685643561288856</v>
      </c>
      <c r="H25" s="3" t="s">
        <v>212</v>
      </c>
    </row>
    <row r="26" spans="1:8" x14ac:dyDescent="0.35">
      <c r="A26" s="3" t="s">
        <v>122</v>
      </c>
      <c r="B26" s="27">
        <f>Hasil_Model!B28</f>
        <v>228.97503929708591</v>
      </c>
      <c r="C26" s="27">
        <f>Hasil_Model!D28</f>
        <v>364.1620001416959</v>
      </c>
      <c r="D26" s="24">
        <f t="shared" si="2"/>
        <v>135.18696084460998</v>
      </c>
      <c r="H26" s="3" t="s">
        <v>213</v>
      </c>
    </row>
    <row r="27" spans="1:8" x14ac:dyDescent="0.35">
      <c r="A27" s="3" t="s">
        <v>105</v>
      </c>
      <c r="B27" s="33">
        <f>Hasil_Model!B16</f>
        <v>7.0899999999999999E-3</v>
      </c>
      <c r="C27" s="33">
        <f>Hasil_Model!D16</f>
        <v>3.7399999999999998E-3</v>
      </c>
      <c r="D27" s="34">
        <f t="shared" si="2"/>
        <v>-3.3500000000000001E-3</v>
      </c>
      <c r="H27" s="3" t="s">
        <v>214</v>
      </c>
    </row>
    <row r="28" spans="1:8" x14ac:dyDescent="0.35">
      <c r="A28" s="3" t="s">
        <v>107</v>
      </c>
      <c r="B28" s="33">
        <f>Hasil_Model!B17</f>
        <v>8.3700000000000007E-3</v>
      </c>
      <c r="C28" s="33">
        <f>Hasil_Model!D17</f>
        <v>4.5199999999999997E-3</v>
      </c>
      <c r="D28" s="34">
        <f t="shared" si="2"/>
        <v>-3.850000000000001E-3</v>
      </c>
      <c r="H28" s="3" t="s">
        <v>214</v>
      </c>
    </row>
    <row r="29" spans="1:8" x14ac:dyDescent="0.35">
      <c r="A29" s="3" t="s">
        <v>215</v>
      </c>
      <c r="B29" s="27">
        <f>Hasil_Model!B13*Asumsi!$B$5</f>
        <v>2103.1247209672001</v>
      </c>
      <c r="C29" s="27">
        <f>Hasil_Model!D13*Asumsi!$B$5</f>
        <v>897.9441750328001</v>
      </c>
      <c r="D29" s="24">
        <f t="shared" si="2"/>
        <v>-1205.1805459344</v>
      </c>
      <c r="H29" s="3"/>
    </row>
    <row r="30" spans="1:8" x14ac:dyDescent="0.35">
      <c r="A30" s="3" t="s">
        <v>216</v>
      </c>
      <c r="B30" s="27">
        <f>Hasil_Model!B19*Asumsi!$B$5</f>
        <v>7.6196085533423075</v>
      </c>
      <c r="C30" s="27">
        <f>Hasil_Model!D19*Asumsi!$B$5</f>
        <v>1.5801761744026441</v>
      </c>
      <c r="D30" s="24">
        <f t="shared" si="2"/>
        <v>-6.0394323789396633</v>
      </c>
      <c r="H30" s="3"/>
    </row>
    <row r="31" spans="1:8" x14ac:dyDescent="0.35">
      <c r="A31" s="3" t="s">
        <v>113</v>
      </c>
      <c r="B31" s="26">
        <f>Hasil_Model!B20</f>
        <v>-1.222120419381383</v>
      </c>
      <c r="C31" s="26">
        <f>Hasil_Model!D20</f>
        <v>1.387630126870216</v>
      </c>
      <c r="D31" s="23">
        <f t="shared" si="2"/>
        <v>2.6097505462515991</v>
      </c>
      <c r="H31" s="3" t="s">
        <v>217</v>
      </c>
    </row>
    <row r="33" spans="1:8" x14ac:dyDescent="0.35">
      <c r="A33" s="15" t="s">
        <v>218</v>
      </c>
      <c r="B33" s="29">
        <f>-D25+Asumsi!$B$25*Asumsi!$B$26+PMT(Asumsi!$B$6,Asumsi!$B$7,-Asumsi!$B$20*Asumsi!$B$26)</f>
        <v>42.191530821419796</v>
      </c>
      <c r="H33" s="3" t="s">
        <v>219</v>
      </c>
    </row>
    <row r="34" spans="1:8" x14ac:dyDescent="0.35">
      <c r="A34" s="15" t="s">
        <v>220</v>
      </c>
      <c r="B34" s="30">
        <f>B33/Asumsi!$B$4</f>
        <v>4.2191530821419798E-2</v>
      </c>
    </row>
    <row r="35" spans="1:8" x14ac:dyDescent="0.35">
      <c r="A35" s="15" t="s">
        <v>221</v>
      </c>
      <c r="B35" s="29">
        <f>B33/(-D27*1000)</f>
        <v>12.594486812364117</v>
      </c>
    </row>
    <row r="38" spans="1:8" x14ac:dyDescent="0.35">
      <c r="A38" s="15" t="s">
        <v>222</v>
      </c>
    </row>
    <row r="39" spans="1:8" x14ac:dyDescent="0.35">
      <c r="A39" s="5" t="s">
        <v>223</v>
      </c>
      <c r="B39" s="5" t="s">
        <v>179</v>
      </c>
      <c r="C39" s="5" t="s">
        <v>180</v>
      </c>
      <c r="D39" s="5" t="s">
        <v>181</v>
      </c>
      <c r="E39" s="5" t="s">
        <v>182</v>
      </c>
      <c r="F39" s="5" t="s">
        <v>183</v>
      </c>
      <c r="G39" s="5"/>
      <c r="H39" s="5" t="s">
        <v>81</v>
      </c>
    </row>
    <row r="40" spans="1:8" x14ac:dyDescent="0.35">
      <c r="A40" s="7" t="s">
        <v>224</v>
      </c>
      <c r="B40" s="27">
        <f>Hasil_Model!B28</f>
        <v>228.97503929708591</v>
      </c>
      <c r="C40" s="24">
        <f>B44</f>
        <v>364.1620001416959</v>
      </c>
      <c r="D40" s="24">
        <f>C44</f>
        <v>364.1620001416959</v>
      </c>
      <c r="E40" s="24">
        <f>D44</f>
        <v>364.1620001416959</v>
      </c>
      <c r="F40" s="24">
        <f>E44</f>
        <v>364.1620001416959</v>
      </c>
    </row>
    <row r="41" spans="1:8" x14ac:dyDescent="0.35">
      <c r="A41" s="7" t="s">
        <v>103</v>
      </c>
      <c r="B41" s="27">
        <f>Hasil_Model!D29</f>
        <v>237.91474195699479</v>
      </c>
      <c r="C41" s="27">
        <f>Hasil_Model!D29</f>
        <v>237.91474195699479</v>
      </c>
      <c r="D41" s="27">
        <f>Hasil_Model!D29</f>
        <v>237.91474195699479</v>
      </c>
      <c r="E41" s="27">
        <f>Hasil_Model!D29</f>
        <v>237.91474195699479</v>
      </c>
      <c r="F41" s="27">
        <f>Hasil_Model!D29</f>
        <v>237.91474195699479</v>
      </c>
    </row>
    <row r="42" spans="1:8" x14ac:dyDescent="0.35">
      <c r="A42" s="7" t="s">
        <v>225</v>
      </c>
      <c r="B42" s="24">
        <f>MAX(0,MIN(B41,B45-B40))</f>
        <v>135.18696084460998</v>
      </c>
      <c r="C42" s="24">
        <f>MAX(0,MIN(C41,C45-C40))</f>
        <v>0</v>
      </c>
      <c r="D42" s="24">
        <f>MAX(0,MIN(D41,D45-D40))</f>
        <v>0</v>
      </c>
      <c r="E42" s="24">
        <f>MAX(0,MIN(E41,E45-E40))</f>
        <v>0</v>
      </c>
      <c r="F42" s="24">
        <f>MAX(0,MIN(F41,F45-F40))</f>
        <v>0</v>
      </c>
      <c r="H42" s="3" t="s">
        <v>226</v>
      </c>
    </row>
    <row r="43" spans="1:8" x14ac:dyDescent="0.35">
      <c r="A43" s="7" t="s">
        <v>227</v>
      </c>
      <c r="B43" s="24">
        <f>B41-B42</f>
        <v>102.7277811123848</v>
      </c>
      <c r="C43" s="24">
        <f>C41-C42</f>
        <v>237.91474195699479</v>
      </c>
      <c r="D43" s="24">
        <f>D41-D42</f>
        <v>237.91474195699479</v>
      </c>
      <c r="E43" s="24">
        <f>E41-E42</f>
        <v>237.91474195699479</v>
      </c>
      <c r="F43" s="24">
        <f>F41-F42</f>
        <v>237.91474195699479</v>
      </c>
    </row>
    <row r="44" spans="1:8" x14ac:dyDescent="0.35">
      <c r="A44" s="7" t="s">
        <v>228</v>
      </c>
      <c r="B44" s="24">
        <f>B40+B42</f>
        <v>364.1620001416959</v>
      </c>
      <c r="C44" s="24">
        <f>C40+C42</f>
        <v>364.1620001416959</v>
      </c>
      <c r="D44" s="24">
        <f>D40+D42</f>
        <v>364.1620001416959</v>
      </c>
      <c r="E44" s="24">
        <f>E40+E42</f>
        <v>364.1620001416959</v>
      </c>
      <c r="F44" s="24">
        <f>F40+F42</f>
        <v>364.1620001416959</v>
      </c>
    </row>
    <row r="45" spans="1:8" x14ac:dyDescent="0.35">
      <c r="A45" s="7" t="s">
        <v>229</v>
      </c>
      <c r="B45" s="27">
        <f>Hasil_Model!D28</f>
        <v>364.1620001416959</v>
      </c>
      <c r="C45" s="27">
        <f>Hasil_Model!D28</f>
        <v>364.1620001416959</v>
      </c>
      <c r="D45" s="27">
        <f>Hasil_Model!D28</f>
        <v>364.1620001416959</v>
      </c>
      <c r="E45" s="27">
        <f>Hasil_Model!D28</f>
        <v>364.1620001416959</v>
      </c>
      <c r="F45" s="27">
        <f>Hasil_Model!D28</f>
        <v>364.1620001416959</v>
      </c>
    </row>
    <row r="48" spans="1:8" x14ac:dyDescent="0.35">
      <c r="A48" s="15" t="s">
        <v>230</v>
      </c>
    </row>
    <row r="49" spans="1:8" x14ac:dyDescent="0.35">
      <c r="A49" s="5" t="s">
        <v>21</v>
      </c>
      <c r="B49" s="5" t="s">
        <v>178</v>
      </c>
      <c r="C49" s="5" t="s">
        <v>179</v>
      </c>
      <c r="D49" s="5" t="s">
        <v>180</v>
      </c>
      <c r="E49" s="5" t="s">
        <v>181</v>
      </c>
      <c r="F49" s="5" t="s">
        <v>182</v>
      </c>
      <c r="G49" s="5" t="s">
        <v>183</v>
      </c>
      <c r="H49" s="5" t="s">
        <v>81</v>
      </c>
    </row>
    <row r="50" spans="1:8" ht="25" x14ac:dyDescent="0.35">
      <c r="A50" s="3" t="s">
        <v>231</v>
      </c>
      <c r="B50" s="24">
        <f t="shared" ref="B50:G50" si="3">B10-B7</f>
        <v>268.02691439144803</v>
      </c>
      <c r="C50" s="24">
        <f t="shared" si="3"/>
        <v>-43.043335001940711</v>
      </c>
      <c r="D50" s="24">
        <f t="shared" si="3"/>
        <v>-43.043335001940711</v>
      </c>
      <c r="E50" s="24">
        <f t="shared" si="3"/>
        <v>-43.043335001940711</v>
      </c>
      <c r="F50" s="24">
        <f t="shared" si="3"/>
        <v>-43.043335001940711</v>
      </c>
      <c r="G50" s="24">
        <f t="shared" si="3"/>
        <v>-317.07024939338874</v>
      </c>
      <c r="H50" s="3" t="s">
        <v>232</v>
      </c>
    </row>
    <row r="51" spans="1:8" ht="25" x14ac:dyDescent="0.35">
      <c r="A51" s="2" t="s">
        <v>233</v>
      </c>
      <c r="B51" s="29">
        <f>SUMPRODUCT(B50:G50,B11:G11)</f>
        <v>-32.097279595661945</v>
      </c>
      <c r="H51" s="3" t="s">
        <v>234</v>
      </c>
    </row>
    <row r="52" spans="1:8" x14ac:dyDescent="0.35">
      <c r="A52" s="2" t="s">
        <v>235</v>
      </c>
      <c r="B52" s="30">
        <f>IRR(B50:G50,0.1)</f>
        <v>0.16382392110745525</v>
      </c>
      <c r="H52" s="3" t="s">
        <v>236</v>
      </c>
    </row>
    <row r="53" spans="1:8" x14ac:dyDescent="0.35">
      <c r="A53" s="2" t="s">
        <v>237</v>
      </c>
      <c r="B53" s="30">
        <f>B15</f>
        <v>0.14643245843128594</v>
      </c>
      <c r="H53" s="3" t="s">
        <v>238</v>
      </c>
    </row>
    <row r="54" spans="1:8" x14ac:dyDescent="0.35">
      <c r="A54" s="3" t="s">
        <v>239</v>
      </c>
      <c r="B54" s="24">
        <f>B10+(B8+B9)*(2/Asumsi!$B$26-1)</f>
        <v>262.02691439144803</v>
      </c>
      <c r="C54" s="24">
        <f>C10+(C8+C9)*(2/Asumsi!$B$26-1)</f>
        <v>-41.151636547792691</v>
      </c>
      <c r="D54" s="24">
        <f>D10+(D8+D9)*(2/Asumsi!$B$26-1)</f>
        <v>-41.151636547792691</v>
      </c>
      <c r="E54" s="24">
        <f>E10+(E8+E9)*(2/Asumsi!$B$26-1)</f>
        <v>-41.151636547792691</v>
      </c>
      <c r="F54" s="24">
        <f>F10+(F8+F9)*(2/Asumsi!$B$26-1)</f>
        <v>-41.151636547792691</v>
      </c>
      <c r="G54" s="24">
        <f>G10+(G8+G9)*(2/Asumsi!$B$26-1)</f>
        <v>-315.17855093924072</v>
      </c>
    </row>
    <row r="55" spans="1:8" x14ac:dyDescent="0.35">
      <c r="A55" s="2" t="s">
        <v>240</v>
      </c>
      <c r="B55" s="29">
        <f>SUMPRODUCT(B54:G54,B11:G11)</f>
        <v>-31.443738655320544</v>
      </c>
      <c r="H55" s="3" t="s">
        <v>241</v>
      </c>
    </row>
    <row r="56" spans="1:8" x14ac:dyDescent="0.35">
      <c r="A56" s="3" t="s">
        <v>242</v>
      </c>
      <c r="B56" s="24">
        <f t="shared" ref="B56:G56" si="4">B54-B7</f>
        <v>262.02691439144803</v>
      </c>
      <c r="C56" s="24">
        <f t="shared" si="4"/>
        <v>-45.843335001940709</v>
      </c>
      <c r="D56" s="24">
        <f t="shared" si="4"/>
        <v>-45.843335001940709</v>
      </c>
      <c r="E56" s="24">
        <f t="shared" si="4"/>
        <v>-45.843335001940709</v>
      </c>
      <c r="F56" s="24">
        <f t="shared" si="4"/>
        <v>-45.843335001940709</v>
      </c>
      <c r="G56" s="24">
        <f t="shared" si="4"/>
        <v>-319.87024939338875</v>
      </c>
    </row>
    <row r="57" spans="1:8" x14ac:dyDescent="0.35">
      <c r="A57" s="2" t="s">
        <v>243</v>
      </c>
      <c r="B57" s="29">
        <f>SUMPRODUCT(B56:G56,B11:G11)</f>
        <v>-47.945527127981549</v>
      </c>
      <c r="H57" s="3"/>
    </row>
    <row r="58" spans="1:8" x14ac:dyDescent="0.35">
      <c r="A58" s="2" t="s">
        <v>244</v>
      </c>
      <c r="B58" s="30">
        <f>IRR(B54:G54,0.1)</f>
        <v>0.16366242265965614</v>
      </c>
      <c r="H58" s="3"/>
    </row>
    <row r="59" spans="1:8" x14ac:dyDescent="0.35">
      <c r="A59" s="2" t="s">
        <v>245</v>
      </c>
      <c r="B59" s="30">
        <f>IRR(B56:G56,0.1)</f>
        <v>0.18134106292449048</v>
      </c>
      <c r="H59" s="3"/>
    </row>
    <row r="60" spans="1:8" ht="26" x14ac:dyDescent="0.35">
      <c r="A60" s="2" t="s">
        <v>246</v>
      </c>
      <c r="B60" s="29">
        <f>1.03202879431824*Asumsi!$B$5</f>
        <v>10.3202879431824</v>
      </c>
      <c r="H60" s="3" t="s">
        <v>247</v>
      </c>
    </row>
    <row r="61" spans="1:8" x14ac:dyDescent="0.35">
      <c r="A61" s="2" t="s">
        <v>248</v>
      </c>
      <c r="B61" s="29">
        <f>123.162880012479*Asumsi!$B$5</f>
        <v>1231.6288001247899</v>
      </c>
      <c r="H61" s="3" t="s">
        <v>249</v>
      </c>
    </row>
    <row r="62" spans="1:8" x14ac:dyDescent="0.35">
      <c r="A62" s="2" t="s">
        <v>250</v>
      </c>
      <c r="B62" s="35">
        <v>0.58561852649346902</v>
      </c>
      <c r="H62" s="3"/>
    </row>
    <row r="63" spans="1:8" ht="26" x14ac:dyDescent="0.35">
      <c r="A63" s="2" t="s">
        <v>251</v>
      </c>
      <c r="B63" s="29">
        <f>5.03501422481917*Asumsi!$B$5</f>
        <v>50.350142248191702</v>
      </c>
      <c r="H63" s="3" t="s">
        <v>252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6"/>
  <sheetViews>
    <sheetView showGridLines="0" workbookViewId="0"/>
  </sheetViews>
  <sheetFormatPr defaultRowHeight="14.5" x14ac:dyDescent="0.35"/>
  <cols>
    <col min="1" max="1" width="44" customWidth="1"/>
    <col min="2" max="2" width="16" customWidth="1"/>
    <col min="3" max="3" width="26" customWidth="1"/>
    <col min="4" max="10" width="16" customWidth="1"/>
    <col min="11" max="11" width="18" customWidth="1"/>
  </cols>
  <sheetData>
    <row r="1" spans="1:3" ht="16.5" x14ac:dyDescent="0.35">
      <c r="A1" s="1" t="s">
        <v>253</v>
      </c>
    </row>
    <row r="2" spans="1:3" x14ac:dyDescent="0.35">
      <c r="A2" s="4" t="s">
        <v>254</v>
      </c>
    </row>
    <row r="3" spans="1:3" x14ac:dyDescent="0.35">
      <c r="A3" s="15" t="s">
        <v>255</v>
      </c>
    </row>
    <row r="4" spans="1:3" x14ac:dyDescent="0.35">
      <c r="A4" s="7" t="s">
        <v>256</v>
      </c>
      <c r="B4" s="27">
        <f>(Hasil_Model!C6-Hasil_Model!D6)*Asumsi!$B$5</f>
        <v>274.02691439144803</v>
      </c>
    </row>
    <row r="5" spans="1:3" x14ac:dyDescent="0.35">
      <c r="A5" s="7" t="s">
        <v>257</v>
      </c>
      <c r="B5" s="27">
        <f>(Hasil_Model!C15-Hasil_Model!D15)*Asumsi!$B$5</f>
        <v>40.243335001940714</v>
      </c>
    </row>
    <row r="6" spans="1:3" x14ac:dyDescent="0.35">
      <c r="A6" s="7" t="s">
        <v>258</v>
      </c>
      <c r="B6" s="27">
        <f>(Hasil_Model!C19-Hasil_Model!D19)*Asumsi!$B$5*Asumsi!$B$14</f>
        <v>4.6916984541480158</v>
      </c>
    </row>
    <row r="7" spans="1:3" x14ac:dyDescent="0.35">
      <c r="A7" s="7" t="s">
        <v>192</v>
      </c>
      <c r="B7" s="27">
        <f>Asumsi!$B$25*Asumsi!$B$26</f>
        <v>2.8</v>
      </c>
    </row>
    <row r="8" spans="1:3" x14ac:dyDescent="0.35">
      <c r="A8" s="7" t="s">
        <v>259</v>
      </c>
      <c r="B8" s="27">
        <f>Asumsi!$B$20*Asumsi!$B$26</f>
        <v>6</v>
      </c>
    </row>
    <row r="10" spans="1:3" x14ac:dyDescent="0.35">
      <c r="A10" s="15" t="s">
        <v>260</v>
      </c>
    </row>
    <row r="11" spans="1:3" x14ac:dyDescent="0.35">
      <c r="A11" s="5" t="s">
        <v>32</v>
      </c>
      <c r="B11" s="5" t="s">
        <v>261</v>
      </c>
      <c r="C11" s="5" t="s">
        <v>208</v>
      </c>
    </row>
    <row r="12" spans="1:3" x14ac:dyDescent="0.35">
      <c r="A12" s="11">
        <v>0.1</v>
      </c>
      <c r="B12" s="24">
        <f>$B$4*(1-(1+A12)^-Asumsi!$B$7)-($B$5-$B$6+$B$7)*(1-(1+A12)^-Asumsi!$B$7)/A12-$B$8</f>
        <v>-47.505116256841788</v>
      </c>
      <c r="C12" s="7" t="str">
        <f t="shared" ref="C12:C18" si="0">IF(B12&gt;0,"Solusi lebih murah","Modal saja lebih murah")</f>
        <v>Modal saja lebih murah</v>
      </c>
    </row>
    <row r="13" spans="1:3" x14ac:dyDescent="0.35">
      <c r="A13" s="11">
        <v>0.11</v>
      </c>
      <c r="B13" s="24">
        <f>$B$4*(1-(1+A13)^-Asumsi!$B$7)-($B$5-$B$6+$B$7)*(1-(1+A13)^-Asumsi!$B$7)/A13-$B$8</f>
        <v>-36.338421016909052</v>
      </c>
      <c r="C13" s="7" t="str">
        <f t="shared" si="0"/>
        <v>Modal saja lebih murah</v>
      </c>
    </row>
    <row r="14" spans="1:3" x14ac:dyDescent="0.35">
      <c r="A14" s="11">
        <v>0.12</v>
      </c>
      <c r="B14" s="24">
        <f>$B$4*(1-(1+A14)^-Asumsi!$B$7)-($B$5-$B$6+$B$7)*(1-(1+A14)^-Asumsi!$B$7)/A14-$B$8</f>
        <v>-25.712382772429208</v>
      </c>
      <c r="C14" s="7" t="str">
        <f t="shared" si="0"/>
        <v>Modal saja lebih murah</v>
      </c>
    </row>
    <row r="15" spans="1:3" x14ac:dyDescent="0.35">
      <c r="A15" s="11">
        <v>0.13</v>
      </c>
      <c r="B15" s="24">
        <f>$B$4*(1-(1+A15)^-Asumsi!$B$7)-($B$5-$B$6+$B$7)*(1-(1+A15)^-Asumsi!$B$7)/A15-$B$8</f>
        <v>-15.595491123000826</v>
      </c>
      <c r="C15" s="7" t="str">
        <f t="shared" si="0"/>
        <v>Modal saja lebih murah</v>
      </c>
    </row>
    <row r="16" spans="1:3" x14ac:dyDescent="0.35">
      <c r="A16" s="11">
        <v>0.14000000000000001</v>
      </c>
      <c r="B16" s="24">
        <f>$B$4*(1-(1+A16)^-Asumsi!$B$7)-($B$5-$B$6+$B$7)*(1-(1+A16)^-Asumsi!$B$7)/A16-$B$8</f>
        <v>-5.9583516914835286</v>
      </c>
      <c r="C16" s="7" t="str">
        <f t="shared" si="0"/>
        <v>Modal saja lebih murah</v>
      </c>
    </row>
    <row r="17" spans="1:11" x14ac:dyDescent="0.35">
      <c r="A17" s="11">
        <v>0.15</v>
      </c>
      <c r="B17" s="24">
        <f>$B$4*(1-(1+A17)^-Asumsi!$B$7)-($B$5-$B$6+$B$7)*(1-(1+A17)^-Asumsi!$B$7)/A17-$B$8</f>
        <v>3.226473739680273</v>
      </c>
      <c r="C17" s="7" t="str">
        <f t="shared" si="0"/>
        <v>Solusi lebih murah</v>
      </c>
    </row>
    <row r="18" spans="1:11" x14ac:dyDescent="0.35">
      <c r="A18" s="11">
        <v>0.16</v>
      </c>
      <c r="B18" s="24">
        <f>$B$4*(1-(1+A18)^-Asumsi!$B$7)-($B$5-$B$6+$B$7)*(1-(1+A18)^-Asumsi!$B$7)/A18-$B$8</f>
        <v>11.984613719926344</v>
      </c>
      <c r="C18" s="7" t="str">
        <f t="shared" si="0"/>
        <v>Solusi lebih murah</v>
      </c>
    </row>
    <row r="20" spans="1:11" x14ac:dyDescent="0.35">
      <c r="A20" s="15" t="s">
        <v>262</v>
      </c>
    </row>
    <row r="21" spans="1:11" x14ac:dyDescent="0.35">
      <c r="A21" s="5" t="s">
        <v>263</v>
      </c>
      <c r="B21" s="5" t="s">
        <v>261</v>
      </c>
      <c r="C21" s="5" t="s">
        <v>208</v>
      </c>
    </row>
    <row r="22" spans="1:11" x14ac:dyDescent="0.35">
      <c r="A22" s="10">
        <v>3</v>
      </c>
      <c r="B22" s="24">
        <f>$B$4*(1-(1+Asumsi!$B$6)^-A22)-($B$5-$B$6+$B$7)*(1-(1+Asumsi!$B$6)^-A22)/Asumsi!$B$6-$B$8</f>
        <v>-12.441549363153271</v>
      </c>
      <c r="C22" s="7" t="str">
        <f>IF(B22&gt;0,"Solusi lebih murah","Modal saja lebih murah")</f>
        <v>Modal saja lebih murah</v>
      </c>
    </row>
    <row r="23" spans="1:11" x14ac:dyDescent="0.35">
      <c r="A23" s="10">
        <v>5</v>
      </c>
      <c r="B23" s="24">
        <f>$B$4*(1-(1+Asumsi!$B$6)^-A23)-($B$5-$B$6+$B$7)*(1-(1+Asumsi!$B$6)^-A23)/Asumsi!$B$6-$B$8</f>
        <v>-15.595491123000826</v>
      </c>
      <c r="C23" s="7" t="str">
        <f>IF(B23&gt;0,"Solusi lebih murah","Modal saja lebih murah")</f>
        <v>Modal saja lebih murah</v>
      </c>
    </row>
    <row r="24" spans="1:11" x14ac:dyDescent="0.35">
      <c r="A24" s="10">
        <v>7</v>
      </c>
      <c r="B24" s="24">
        <f>$B$4*(1-(1+Asumsi!$B$6)^-A24)-($B$5-$B$6+$B$7)*(1-(1+Asumsi!$B$6)^-A24)/Asumsi!$B$6-$B$8</f>
        <v>-18.065490151779528</v>
      </c>
      <c r="C24" s="7" t="str">
        <f>IF(B24&gt;0,"Solusi lebih murah","Modal saja lebih murah")</f>
        <v>Modal saja lebih murah</v>
      </c>
    </row>
    <row r="25" spans="1:11" x14ac:dyDescent="0.35">
      <c r="A25" s="10">
        <v>10</v>
      </c>
      <c r="B25" s="24">
        <f>$B$4*(1-(1+Asumsi!$B$6)^-A25)-($B$5-$B$6+$B$7)*(1-(1+Asumsi!$B$6)^-A25)/Asumsi!$B$6-$B$8</f>
        <v>-20.803539270804009</v>
      </c>
      <c r="C25" s="7" t="str">
        <f>IF(B25&gt;0,"Solusi lebih murah","Modal saja lebih murah")</f>
        <v>Modal saja lebih murah</v>
      </c>
    </row>
    <row r="27" spans="1:11" x14ac:dyDescent="0.35">
      <c r="A27" s="15" t="s">
        <v>264</v>
      </c>
    </row>
    <row r="28" spans="1:11" ht="26" x14ac:dyDescent="0.35">
      <c r="A28" s="5" t="s">
        <v>265</v>
      </c>
      <c r="B28" s="5" t="s">
        <v>266</v>
      </c>
      <c r="C28" s="5" t="s">
        <v>267</v>
      </c>
      <c r="D28" s="5" t="s">
        <v>268</v>
      </c>
      <c r="E28" s="5" t="s">
        <v>269</v>
      </c>
      <c r="F28" s="5" t="s">
        <v>270</v>
      </c>
      <c r="G28" s="5" t="s">
        <v>271</v>
      </c>
      <c r="H28" s="5" t="s">
        <v>272</v>
      </c>
      <c r="I28" s="5" t="s">
        <v>273</v>
      </c>
      <c r="J28" s="5" t="s">
        <v>274</v>
      </c>
      <c r="K28" s="5" t="s">
        <v>275</v>
      </c>
    </row>
    <row r="29" spans="1:11" x14ac:dyDescent="0.35">
      <c r="A29" s="7" t="s">
        <v>276</v>
      </c>
      <c r="B29" s="11">
        <v>3.3</v>
      </c>
      <c r="C29" s="11">
        <v>1.9</v>
      </c>
      <c r="D29" s="12">
        <v>63.818891453314393</v>
      </c>
      <c r="E29" s="12">
        <v>36.41620001416959</v>
      </c>
      <c r="F29" s="12">
        <v>27.81580769589355</v>
      </c>
      <c r="G29" s="12">
        <v>23.791474195699479</v>
      </c>
      <c r="H29" s="12">
        <v>0.62718746285506599</v>
      </c>
      <c r="I29" s="12">
        <v>0.15801761744026441</v>
      </c>
      <c r="J29" s="36">
        <f>((D29-E29)*Asumsi!$B$5)*(1-(1+Asumsi!$B$6)^-Asumsi!$B$7)-(((F29-G29)*Asumsi!$B$5)-((H29-I29)*Asumsi!$B$5*Asumsi!$B$14)+$B$7)*(1-(1+Asumsi!$B$6)^-Asumsi!$B$7)/Asumsi!$B$6-$B$8</f>
        <v>-15.595491123000826</v>
      </c>
      <c r="K29" s="23">
        <f>E29/D29</f>
        <v>0.57061787168160438</v>
      </c>
    </row>
    <row r="30" spans="1:11" x14ac:dyDescent="0.35">
      <c r="A30" s="7" t="s">
        <v>277</v>
      </c>
      <c r="B30" s="11">
        <v>2.8</v>
      </c>
      <c r="C30" s="11">
        <v>1.6</v>
      </c>
      <c r="D30" s="12">
        <v>53.975729060629483</v>
      </c>
      <c r="E30" s="12">
        <v>30.60772426054632</v>
      </c>
      <c r="F30" s="12">
        <v>27.611349803550649</v>
      </c>
      <c r="G30" s="12">
        <v>24.114442165714479</v>
      </c>
      <c r="H30" s="12">
        <v>0.54514609749081999</v>
      </c>
      <c r="I30" s="12">
        <v>0.13243073475686001</v>
      </c>
      <c r="J30" s="36">
        <f>((D30-E30)*Asumsi!$B$5)*(1-(1+Asumsi!$B$6)^-Asumsi!$B$7)-(((F30-G30)*Asumsi!$B$5)-((H30-I30)*Asumsi!$B$5*Asumsi!$B$14)+$B$7)*(1-(1+Asumsi!$B$6)^-Asumsi!$B$7)/Asumsi!$B$6-$B$8</f>
        <v>-17.478542294747442</v>
      </c>
      <c r="K30" s="23">
        <f>E30/D30</f>
        <v>0.56706458241935898</v>
      </c>
    </row>
    <row r="31" spans="1:11" x14ac:dyDescent="0.35">
      <c r="A31" s="7" t="s">
        <v>278</v>
      </c>
      <c r="B31" s="11">
        <v>4.6500000000000004</v>
      </c>
      <c r="C31" s="11">
        <v>2.75</v>
      </c>
      <c r="D31" s="12">
        <v>90.714527431093927</v>
      </c>
      <c r="E31" s="12">
        <v>52.99488360851754</v>
      </c>
      <c r="F31" s="12">
        <v>28.344850692558222</v>
      </c>
      <c r="G31" s="12">
        <v>22.88411620367885</v>
      </c>
      <c r="H31" s="12">
        <v>0.86166253764198342</v>
      </c>
      <c r="I31" s="12">
        <v>0.23164406613791219</v>
      </c>
      <c r="J31" s="36">
        <f>((D31-E31)*Asumsi!$B$5)*(1-(1+Asumsi!$B$6)^-Asumsi!$B$7)-(((F31-G31)*Asumsi!$B$5)-((H31-I31)*Asumsi!$B$5*Asumsi!$B$14)+$B$7)*(1-(1+Asumsi!$B$6)^-Asumsi!$B$7)/Asumsi!$B$6-$B$8</f>
        <v>-13.286377896665925</v>
      </c>
      <c r="K31" s="23">
        <f>E31/D31</f>
        <v>0.58419401069770283</v>
      </c>
    </row>
    <row r="32" spans="1:11" x14ac:dyDescent="0.35">
      <c r="A32" s="7" t="s">
        <v>279</v>
      </c>
      <c r="B32" s="11">
        <v>3.6</v>
      </c>
      <c r="C32" s="11">
        <v>2.25</v>
      </c>
      <c r="D32" s="12">
        <v>69.755245364875407</v>
      </c>
      <c r="E32" s="12">
        <v>43.220904065123108</v>
      </c>
      <c r="F32" s="12">
        <v>22.63473903658706</v>
      </c>
      <c r="G32" s="12">
        <v>18.92991940115256</v>
      </c>
      <c r="H32" s="12">
        <v>0.62882375472150043</v>
      </c>
      <c r="I32" s="12">
        <v>0.15678011716974899</v>
      </c>
      <c r="J32" s="36">
        <f>((D32-E32)*Asumsi!$B$5)*(1-(1+Asumsi!$B$6)^-Asumsi!$B$7)-(((F32-G32)*Asumsi!$B$5)-((H32-I32)*Asumsi!$B$5*Asumsi!$B$14)+$B$7)*(1-(1+Asumsi!$B$6)^-Asumsi!$B$7)/Asumsi!$B$6-$B$8</f>
        <v>-8.226816404388515</v>
      </c>
      <c r="K32" s="23">
        <f>E32/D32</f>
        <v>0.61960794258615837</v>
      </c>
    </row>
    <row r="33" spans="1:11" x14ac:dyDescent="0.35">
      <c r="A33" s="7" t="s">
        <v>280</v>
      </c>
      <c r="B33" s="11">
        <v>2.5499999999999998</v>
      </c>
      <c r="C33" s="11">
        <v>1.2</v>
      </c>
      <c r="D33" s="12">
        <v>49.077782018121098</v>
      </c>
      <c r="E33" s="12">
        <v>22.897503929708591</v>
      </c>
      <c r="F33" s="12">
        <v>39.20816233008663</v>
      </c>
      <c r="G33" s="12">
        <v>35.240023349062277</v>
      </c>
      <c r="H33" s="12">
        <v>0.62726955556624064</v>
      </c>
      <c r="I33" s="12">
        <v>0.15527567770669939</v>
      </c>
      <c r="J33" s="36">
        <f>((D33-E33)*Asumsi!$B$5)*(1-(1+Asumsi!$B$6)^-Asumsi!$B$7)-(((F33-G33)*Asumsi!$B$5)-((H33-I33)*Asumsi!$B$5*Asumsi!$B$14)+$B$7)*(1-(1+Asumsi!$B$6)^-Asumsi!$B$7)/Asumsi!$B$6-$B$8</f>
        <v>-19.109035762747027</v>
      </c>
      <c r="K33" s="23">
        <f>E33/D33</f>
        <v>0.46655539407331192</v>
      </c>
    </row>
    <row r="35" spans="1:11" x14ac:dyDescent="0.35">
      <c r="A35" s="15" t="s">
        <v>281</v>
      </c>
      <c r="B35" s="37">
        <f>Biaya_Manfaat!B15</f>
        <v>0.14643245843128594</v>
      </c>
    </row>
    <row r="36" spans="1:11" x14ac:dyDescent="0.35">
      <c r="A36" s="4" t="s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showGridLines="0" workbookViewId="0"/>
  </sheetViews>
  <sheetFormatPr defaultRowHeight="14.5" x14ac:dyDescent="0.35"/>
  <cols>
    <col min="1" max="1" width="38" customWidth="1"/>
    <col min="2" max="2" width="26" customWidth="1"/>
    <col min="3" max="4" width="12" customWidth="1"/>
    <col min="5" max="6" width="16" customWidth="1"/>
    <col min="7" max="7" width="12" customWidth="1"/>
    <col min="8" max="8" width="18" customWidth="1"/>
    <col min="9" max="9" width="26" customWidth="1"/>
  </cols>
  <sheetData>
    <row r="1" spans="1:9" ht="16.5" x14ac:dyDescent="0.35">
      <c r="A1" s="1" t="s">
        <v>283</v>
      </c>
    </row>
    <row r="2" spans="1:9" x14ac:dyDescent="0.35">
      <c r="A2" s="4" t="s">
        <v>284</v>
      </c>
    </row>
    <row r="3" spans="1:9" ht="26" x14ac:dyDescent="0.35">
      <c r="A3" s="5" t="s">
        <v>285</v>
      </c>
      <c r="B3" s="5" t="s">
        <v>286</v>
      </c>
      <c r="C3" s="5" t="s">
        <v>287</v>
      </c>
      <c r="D3" s="5" t="s">
        <v>288</v>
      </c>
      <c r="E3" s="5" t="s">
        <v>289</v>
      </c>
      <c r="F3" s="5" t="s">
        <v>290</v>
      </c>
      <c r="G3" s="5" t="s">
        <v>291</v>
      </c>
      <c r="H3" s="5" t="s">
        <v>292</v>
      </c>
      <c r="I3" s="5" t="s">
        <v>23</v>
      </c>
    </row>
    <row r="4" spans="1:9" x14ac:dyDescent="0.35">
      <c r="A4" s="7" t="s">
        <v>293</v>
      </c>
      <c r="B4" s="7" t="s">
        <v>294</v>
      </c>
      <c r="C4" s="7" t="s">
        <v>78</v>
      </c>
      <c r="D4" s="11">
        <v>1.2</v>
      </c>
      <c r="E4" s="16">
        <v>10.852239456785011</v>
      </c>
      <c r="F4" s="27">
        <f>E4*Asumsi!$B$5</f>
        <v>108.52239456785011</v>
      </c>
      <c r="G4" s="11">
        <v>2.224260132733102</v>
      </c>
      <c r="H4" s="16">
        <v>0</v>
      </c>
      <c r="I4" s="7" t="str">
        <f t="shared" ref="I4:I23" si="0">IF(G4&gt;=1.2,"Di atas target minimum",IF(G4&gt;=1,"Memenuhi 100%",IF(G4&gt;=0,"Di bawah 100%","AYD di bawah liabilitas")))</f>
        <v>Di atas target minimum</v>
      </c>
    </row>
    <row r="5" spans="1:9" x14ac:dyDescent="0.35">
      <c r="A5" s="7" t="s">
        <v>293</v>
      </c>
      <c r="B5" s="7" t="s">
        <v>294</v>
      </c>
      <c r="C5" s="7" t="s">
        <v>80</v>
      </c>
      <c r="D5" s="11">
        <v>1.9</v>
      </c>
      <c r="E5" s="16">
        <v>5.5972916095833209</v>
      </c>
      <c r="F5" s="27">
        <f>E5*Asumsi!$B$5</f>
        <v>55.972916095833213</v>
      </c>
      <c r="G5" s="11">
        <v>2.980419245061507</v>
      </c>
      <c r="H5" s="16">
        <v>0</v>
      </c>
      <c r="I5" s="7" t="str">
        <f t="shared" si="0"/>
        <v>Di atas target minimum</v>
      </c>
    </row>
    <row r="6" spans="1:9" x14ac:dyDescent="0.35">
      <c r="A6" s="7" t="s">
        <v>293</v>
      </c>
      <c r="B6" s="7" t="s">
        <v>295</v>
      </c>
      <c r="C6" s="7" t="s">
        <v>78</v>
      </c>
      <c r="D6" s="11">
        <v>1.2</v>
      </c>
      <c r="E6" s="16">
        <v>45.550002123084042</v>
      </c>
      <c r="F6" s="27">
        <f>E6*Asumsi!$B$5</f>
        <v>455.50002123084039</v>
      </c>
      <c r="G6" s="11">
        <v>0.68559464270381876</v>
      </c>
      <c r="H6" s="16">
        <v>0</v>
      </c>
      <c r="I6" s="7" t="str">
        <f t="shared" si="0"/>
        <v>Di bawah 100%</v>
      </c>
    </row>
    <row r="7" spans="1:9" x14ac:dyDescent="0.35">
      <c r="A7" s="7" t="s">
        <v>293</v>
      </c>
      <c r="B7" s="7" t="s">
        <v>295</v>
      </c>
      <c r="C7" s="7" t="s">
        <v>80</v>
      </c>
      <c r="D7" s="11">
        <v>1.9</v>
      </c>
      <c r="E7" s="16">
        <v>22.349153969821241</v>
      </c>
      <c r="F7" s="27">
        <f>E7*Asumsi!$B$5</f>
        <v>223.49153969821242</v>
      </c>
      <c r="G7" s="11">
        <v>2.2955988072016971</v>
      </c>
      <c r="H7" s="16">
        <v>0</v>
      </c>
      <c r="I7" s="7" t="str">
        <f t="shared" si="0"/>
        <v>Di atas target minimum</v>
      </c>
    </row>
    <row r="8" spans="1:9" x14ac:dyDescent="0.35">
      <c r="A8" s="7" t="s">
        <v>296</v>
      </c>
      <c r="B8" s="7" t="s">
        <v>294</v>
      </c>
      <c r="C8" s="7" t="s">
        <v>78</v>
      </c>
      <c r="D8" s="11">
        <v>1.2</v>
      </c>
      <c r="E8" s="16">
        <v>81.769588427422278</v>
      </c>
      <c r="F8" s="27">
        <f>E8*Asumsi!$B$5</f>
        <v>817.69588427422275</v>
      </c>
      <c r="G8" s="11">
        <v>-1.222120419381383</v>
      </c>
      <c r="H8" s="16">
        <v>0</v>
      </c>
      <c r="I8" s="7" t="str">
        <f t="shared" si="0"/>
        <v>AYD di bawah liabilitas</v>
      </c>
    </row>
    <row r="9" spans="1:9" x14ac:dyDescent="0.35">
      <c r="A9" s="7" t="s">
        <v>296</v>
      </c>
      <c r="B9" s="7" t="s">
        <v>294</v>
      </c>
      <c r="C9" s="7" t="s">
        <v>80</v>
      </c>
      <c r="D9" s="11">
        <v>1.9</v>
      </c>
      <c r="E9" s="16">
        <v>41.792531576107308</v>
      </c>
      <c r="F9" s="27">
        <f>E9*Asumsi!$B$5</f>
        <v>417.92531576107308</v>
      </c>
      <c r="G9" s="11">
        <v>1.387630126870216</v>
      </c>
      <c r="H9" s="16">
        <v>0</v>
      </c>
      <c r="I9" s="7" t="str">
        <f t="shared" si="0"/>
        <v>Di atas target minimum</v>
      </c>
    </row>
    <row r="10" spans="1:9" x14ac:dyDescent="0.35">
      <c r="A10" s="7" t="s">
        <v>296</v>
      </c>
      <c r="B10" s="7" t="s">
        <v>295</v>
      </c>
      <c r="C10" s="7" t="s">
        <v>78</v>
      </c>
      <c r="D10" s="11">
        <v>1.2</v>
      </c>
      <c r="E10" s="16">
        <v>340.16625237457288</v>
      </c>
      <c r="F10" s="27">
        <f>E10*Asumsi!$B$5</f>
        <v>3401.6625237457288</v>
      </c>
      <c r="G10" s="11">
        <v>-14.768999544856239</v>
      </c>
      <c r="H10" s="16">
        <v>239.5378859645129</v>
      </c>
      <c r="I10" s="7" t="str">
        <f t="shared" si="0"/>
        <v>AYD di bawah liabilitas</v>
      </c>
    </row>
    <row r="11" spans="1:9" x14ac:dyDescent="0.35">
      <c r="A11" s="7" t="s">
        <v>296</v>
      </c>
      <c r="B11" s="7" t="s">
        <v>295</v>
      </c>
      <c r="C11" s="7" t="s">
        <v>80</v>
      </c>
      <c r="D11" s="11">
        <v>1.9</v>
      </c>
      <c r="E11" s="16">
        <v>156.20228324812669</v>
      </c>
      <c r="F11" s="27">
        <f>E11*Asumsi!$B$5</f>
        <v>1562.022832481267</v>
      </c>
      <c r="G11" s="11">
        <v>-4.6006032660042431</v>
      </c>
      <c r="H11" s="16">
        <v>42.122814234027963</v>
      </c>
      <c r="I11" s="7" t="str">
        <f t="shared" si="0"/>
        <v>AYD di bawah liabilitas</v>
      </c>
    </row>
    <row r="12" spans="1:9" x14ac:dyDescent="0.35">
      <c r="A12" s="7" t="s">
        <v>297</v>
      </c>
      <c r="B12" s="7" t="s">
        <v>294</v>
      </c>
      <c r="C12" s="7" t="s">
        <v>78</v>
      </c>
      <c r="D12" s="11">
        <v>1.2</v>
      </c>
      <c r="E12" s="16">
        <v>8.8684024248027473</v>
      </c>
      <c r="F12" s="27">
        <f>E12*Asumsi!$B$5</f>
        <v>88.68402424802747</v>
      </c>
      <c r="G12" s="11">
        <v>2.305762574223488</v>
      </c>
      <c r="H12" s="16">
        <v>0</v>
      </c>
      <c r="I12" s="7" t="str">
        <f t="shared" si="0"/>
        <v>Di atas target minimum</v>
      </c>
    </row>
    <row r="13" spans="1:9" x14ac:dyDescent="0.35">
      <c r="A13" s="7" t="s">
        <v>297</v>
      </c>
      <c r="B13" s="7" t="s">
        <v>294</v>
      </c>
      <c r="C13" s="7" t="s">
        <v>80</v>
      </c>
      <c r="D13" s="11">
        <v>1.9</v>
      </c>
      <c r="E13" s="16">
        <v>8.8211556629475574</v>
      </c>
      <c r="F13" s="27">
        <f>E13*Asumsi!$B$5</f>
        <v>88.211556629475581</v>
      </c>
      <c r="G13" s="11">
        <v>2.8489030970889679</v>
      </c>
      <c r="H13" s="16">
        <v>0</v>
      </c>
      <c r="I13" s="7" t="str">
        <f t="shared" si="0"/>
        <v>Di atas target minimum</v>
      </c>
    </row>
    <row r="14" spans="1:9" x14ac:dyDescent="0.35">
      <c r="A14" s="7" t="s">
        <v>297</v>
      </c>
      <c r="B14" s="7" t="s">
        <v>295</v>
      </c>
      <c r="C14" s="7" t="s">
        <v>78</v>
      </c>
      <c r="D14" s="11">
        <v>1.2</v>
      </c>
      <c r="E14" s="16">
        <v>43.857322403105179</v>
      </c>
      <c r="F14" s="27">
        <f>E14*Asumsi!$B$5</f>
        <v>438.57322403105178</v>
      </c>
      <c r="G14" s="11">
        <v>0.77474945993327626</v>
      </c>
      <c r="H14" s="16">
        <v>0</v>
      </c>
      <c r="I14" s="7" t="str">
        <f t="shared" si="0"/>
        <v>Di bawah 100%</v>
      </c>
    </row>
    <row r="15" spans="1:9" x14ac:dyDescent="0.35">
      <c r="A15" s="7" t="s">
        <v>297</v>
      </c>
      <c r="B15" s="7" t="s">
        <v>295</v>
      </c>
      <c r="C15" s="7" t="s">
        <v>80</v>
      </c>
      <c r="D15" s="11">
        <v>1.9</v>
      </c>
      <c r="E15" s="16">
        <v>42.979090755914051</v>
      </c>
      <c r="F15" s="27">
        <f>E15*Asumsi!$B$5</f>
        <v>429.79090755914052</v>
      </c>
      <c r="G15" s="11">
        <v>1.325410801467118</v>
      </c>
      <c r="H15" s="16">
        <v>0</v>
      </c>
      <c r="I15" s="7" t="str">
        <f t="shared" si="0"/>
        <v>Di atas target minimum</v>
      </c>
    </row>
    <row r="16" spans="1:9" x14ac:dyDescent="0.35">
      <c r="A16" s="7" t="s">
        <v>298</v>
      </c>
      <c r="B16" s="7" t="s">
        <v>294</v>
      </c>
      <c r="C16" s="7" t="s">
        <v>78</v>
      </c>
      <c r="D16" s="11">
        <v>1.2</v>
      </c>
      <c r="E16" s="16">
        <v>26.786684740387471</v>
      </c>
      <c r="F16" s="27">
        <f>E16*Asumsi!$B$5</f>
        <v>267.86684740387471</v>
      </c>
      <c r="G16" s="11">
        <v>1.569621584570261</v>
      </c>
      <c r="H16" s="16">
        <v>0</v>
      </c>
      <c r="I16" s="7" t="str">
        <f t="shared" si="0"/>
        <v>Di atas target minimum</v>
      </c>
    </row>
    <row r="17" spans="1:9" x14ac:dyDescent="0.35">
      <c r="A17" s="7" t="s">
        <v>298</v>
      </c>
      <c r="B17" s="7" t="s">
        <v>294</v>
      </c>
      <c r="C17" s="7" t="s">
        <v>80</v>
      </c>
      <c r="D17" s="11">
        <v>1.9</v>
      </c>
      <c r="E17" s="16">
        <v>13.32606981301193</v>
      </c>
      <c r="F17" s="27">
        <f>E17*Asumsi!$B$5</f>
        <v>133.26069813011929</v>
      </c>
      <c r="G17" s="11">
        <v>2.664649058297583</v>
      </c>
      <c r="H17" s="16">
        <v>0</v>
      </c>
      <c r="I17" s="7" t="str">
        <f t="shared" si="0"/>
        <v>Di atas target minimum</v>
      </c>
    </row>
    <row r="18" spans="1:9" x14ac:dyDescent="0.35">
      <c r="A18" s="7" t="s">
        <v>298</v>
      </c>
      <c r="B18" s="7" t="s">
        <v>295</v>
      </c>
      <c r="C18" s="7" t="s">
        <v>78</v>
      </c>
      <c r="D18" s="11">
        <v>1.2</v>
      </c>
      <c r="E18" s="16">
        <v>181.08349223573441</v>
      </c>
      <c r="F18" s="27">
        <f>E18*Asumsi!$B$5</f>
        <v>1810.8349223573441</v>
      </c>
      <c r="G18" s="11">
        <v>-6.4318763041469316</v>
      </c>
      <c r="H18" s="16">
        <v>80.455125825674344</v>
      </c>
      <c r="I18" s="7" t="str">
        <f t="shared" si="0"/>
        <v>AYD di bawah liabilitas</v>
      </c>
    </row>
    <row r="19" spans="1:9" x14ac:dyDescent="0.35">
      <c r="A19" s="7" t="s">
        <v>298</v>
      </c>
      <c r="B19" s="7" t="s">
        <v>295</v>
      </c>
      <c r="C19" s="7" t="s">
        <v>80</v>
      </c>
      <c r="D19" s="11">
        <v>1.9</v>
      </c>
      <c r="E19" s="16">
        <v>66.454918815607044</v>
      </c>
      <c r="F19" s="27">
        <f>E19*Asumsi!$B$5</f>
        <v>664.54918815607039</v>
      </c>
      <c r="G19" s="11">
        <v>9.4414311775698548E-2</v>
      </c>
      <c r="H19" s="16">
        <v>0</v>
      </c>
      <c r="I19" s="7" t="str">
        <f t="shared" si="0"/>
        <v>Di bawah 100%</v>
      </c>
    </row>
    <row r="20" spans="1:9" x14ac:dyDescent="0.35">
      <c r="A20" s="7" t="s">
        <v>299</v>
      </c>
      <c r="B20" s="7" t="s">
        <v>294</v>
      </c>
      <c r="C20" s="7" t="s">
        <v>78</v>
      </c>
      <c r="D20" s="11">
        <v>1.2</v>
      </c>
      <c r="E20" s="16">
        <v>18.134715066054252</v>
      </c>
      <c r="F20" s="27">
        <f>E20*Asumsi!$B$5</f>
        <v>181.34715066054252</v>
      </c>
      <c r="G20" s="11">
        <v>1.925072481388298</v>
      </c>
      <c r="H20" s="16">
        <v>0</v>
      </c>
      <c r="I20" s="7" t="str">
        <f t="shared" si="0"/>
        <v>Di atas target minimum</v>
      </c>
    </row>
    <row r="21" spans="1:9" x14ac:dyDescent="0.35">
      <c r="A21" s="7" t="s">
        <v>299</v>
      </c>
      <c r="B21" s="7" t="s">
        <v>294</v>
      </c>
      <c r="C21" s="7" t="s">
        <v>80</v>
      </c>
      <c r="D21" s="11">
        <v>1.9</v>
      </c>
      <c r="E21" s="16">
        <v>18.134715066054252</v>
      </c>
      <c r="F21" s="27">
        <f>E21*Asumsi!$B$5</f>
        <v>181.34715066054252</v>
      </c>
      <c r="G21" s="11">
        <v>2.467972211753148</v>
      </c>
      <c r="H21" s="16">
        <v>0</v>
      </c>
      <c r="I21" s="7" t="str">
        <f t="shared" si="0"/>
        <v>Di atas target minimum</v>
      </c>
    </row>
    <row r="22" spans="1:9" x14ac:dyDescent="0.35">
      <c r="A22" s="7" t="s">
        <v>299</v>
      </c>
      <c r="B22" s="7" t="s">
        <v>295</v>
      </c>
      <c r="C22" s="7" t="s">
        <v>78</v>
      </c>
      <c r="D22" s="11">
        <v>1.2</v>
      </c>
      <c r="E22" s="16">
        <v>118.8004806361629</v>
      </c>
      <c r="F22" s="27">
        <f>E22*Asumsi!$B$5</f>
        <v>1188.0048063616291</v>
      </c>
      <c r="G22" s="11">
        <v>-3.167781922989775</v>
      </c>
      <c r="H22" s="16">
        <v>18.172114226102881</v>
      </c>
      <c r="I22" s="7" t="str">
        <f t="shared" si="0"/>
        <v>AYD di bawah liabilitas</v>
      </c>
    </row>
    <row r="23" spans="1:9" x14ac:dyDescent="0.35">
      <c r="A23" s="7" t="s">
        <v>299</v>
      </c>
      <c r="B23" s="7" t="s">
        <v>295</v>
      </c>
      <c r="C23" s="7" t="s">
        <v>80</v>
      </c>
      <c r="D23" s="11">
        <v>1.9</v>
      </c>
      <c r="E23" s="16">
        <v>118.8004806361629</v>
      </c>
      <c r="F23" s="27">
        <f>E23*Asumsi!$B$5</f>
        <v>1188.0048063616291</v>
      </c>
      <c r="G23" s="11">
        <v>-2.6491798628188379</v>
      </c>
      <c r="H23" s="16">
        <v>4.7210116220641538</v>
      </c>
      <c r="I23" s="7" t="str">
        <f t="shared" si="0"/>
        <v>AYD di bawah liabilitas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showGridLines="0" workbookViewId="0"/>
  </sheetViews>
  <sheetFormatPr defaultRowHeight="14.5" x14ac:dyDescent="0.35"/>
  <cols>
    <col min="1" max="1" width="16" customWidth="1"/>
    <col min="2" max="2" width="130" customWidth="1"/>
  </cols>
  <sheetData>
    <row r="1" spans="1:2" ht="16.5" x14ac:dyDescent="0.35">
      <c r="A1" s="1" t="s">
        <v>300</v>
      </c>
    </row>
    <row r="2" spans="1:2" x14ac:dyDescent="0.35">
      <c r="A2" s="4" t="s">
        <v>301</v>
      </c>
    </row>
    <row r="4" spans="1:2" x14ac:dyDescent="0.35">
      <c r="A4" s="15" t="s">
        <v>302</v>
      </c>
      <c r="B4" s="3" t="s">
        <v>303</v>
      </c>
    </row>
    <row r="5" spans="1:2" x14ac:dyDescent="0.35">
      <c r="A5" s="15" t="s">
        <v>304</v>
      </c>
      <c r="B5" s="3" t="s">
        <v>305</v>
      </c>
    </row>
    <row r="6" spans="1:2" x14ac:dyDescent="0.35">
      <c r="A6" s="15" t="s">
        <v>306</v>
      </c>
      <c r="B6" s="3" t="s">
        <v>307</v>
      </c>
    </row>
    <row r="7" spans="1:2" x14ac:dyDescent="0.35">
      <c r="A7" s="15" t="s">
        <v>308</v>
      </c>
      <c r="B7" s="3" t="s">
        <v>309</v>
      </c>
    </row>
    <row r="8" spans="1:2" x14ac:dyDescent="0.35">
      <c r="A8" s="15" t="s">
        <v>310</v>
      </c>
      <c r="B8" s="3" t="s">
        <v>311</v>
      </c>
    </row>
    <row r="9" spans="1:2" x14ac:dyDescent="0.35">
      <c r="A9" s="15" t="s">
        <v>312</v>
      </c>
      <c r="B9" s="3" t="s">
        <v>313</v>
      </c>
    </row>
    <row r="10" spans="1:2" x14ac:dyDescent="0.35">
      <c r="A10" s="15" t="s">
        <v>314</v>
      </c>
      <c r="B10" s="3" t="s">
        <v>315</v>
      </c>
    </row>
    <row r="11" spans="1:2" x14ac:dyDescent="0.35">
      <c r="A11" s="15" t="s">
        <v>316</v>
      </c>
      <c r="B11" s="3" t="s">
        <v>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3"/>
  <sheetViews>
    <sheetView showGridLines="0" workbookViewId="0"/>
  </sheetViews>
  <sheetFormatPr defaultRowHeight="14.5" x14ac:dyDescent="0.35"/>
  <cols>
    <col min="1" max="1" width="32" customWidth="1"/>
    <col min="2" max="2" width="52" customWidth="1"/>
    <col min="3" max="3" width="20" customWidth="1"/>
    <col min="4" max="4" width="14" customWidth="1"/>
    <col min="5" max="5" width="22" customWidth="1"/>
    <col min="6" max="6" width="18" customWidth="1"/>
  </cols>
  <sheetData>
    <row r="1" spans="1:6" ht="16.5" x14ac:dyDescent="0.35">
      <c r="A1" s="1" t="s">
        <v>318</v>
      </c>
    </row>
    <row r="2" spans="1:6" x14ac:dyDescent="0.35">
      <c r="A2" s="4" t="s">
        <v>319</v>
      </c>
    </row>
    <row r="3" spans="1:6" ht="26" x14ac:dyDescent="0.35">
      <c r="A3" s="5" t="s">
        <v>82</v>
      </c>
      <c r="B3" s="5" t="s">
        <v>81</v>
      </c>
      <c r="C3" s="5" t="s">
        <v>320</v>
      </c>
      <c r="D3" s="5" t="s">
        <v>321</v>
      </c>
      <c r="E3" s="5" t="s">
        <v>322</v>
      </c>
      <c r="F3" s="5" t="s">
        <v>323</v>
      </c>
    </row>
    <row r="4" spans="1:6" x14ac:dyDescent="0.35">
      <c r="A4" s="7" t="s">
        <v>324</v>
      </c>
      <c r="B4" s="3" t="s">
        <v>325</v>
      </c>
      <c r="C4" s="12">
        <v>-0.29165865368784338</v>
      </c>
      <c r="D4" s="20">
        <v>6.2100000000000002E-3</v>
      </c>
      <c r="E4" s="38">
        <f t="shared" ref="E4:E28" si="0">(0.00709-D4)*100</f>
        <v>8.7999999999999967E-2</v>
      </c>
      <c r="F4" s="7" t="str">
        <f t="shared" ref="F4:F28" si="1">IF(E4&gt;=$C$31,IF(C4&lt;=$C$30,"Kerjakan dulu","Proyek besar"),IF(C4&lt;=$C$30,"Tambahan cepat","Hindari"))</f>
        <v>Tambahan cepat</v>
      </c>
    </row>
    <row r="5" spans="1:6" x14ac:dyDescent="0.35">
      <c r="A5" s="7" t="s">
        <v>326</v>
      </c>
      <c r="B5" s="3" t="s">
        <v>327</v>
      </c>
      <c r="C5" s="12">
        <v>-0.71589327948439774</v>
      </c>
      <c r="D5" s="20">
        <v>4.6299999999999996E-3</v>
      </c>
      <c r="E5" s="38">
        <f t="shared" si="0"/>
        <v>0.24600000000000005</v>
      </c>
      <c r="F5" s="7" t="str">
        <f t="shared" si="1"/>
        <v>Kerjakan dulu</v>
      </c>
    </row>
    <row r="6" spans="1:6" x14ac:dyDescent="0.35">
      <c r="A6" s="7" t="s">
        <v>328</v>
      </c>
      <c r="B6" s="3" t="s">
        <v>329</v>
      </c>
      <c r="C6" s="12">
        <v>3.155172419931763</v>
      </c>
      <c r="D6" s="20">
        <v>4.64E-3</v>
      </c>
      <c r="E6" s="38">
        <f t="shared" si="0"/>
        <v>0.245</v>
      </c>
      <c r="F6" s="7" t="str">
        <f t="shared" si="1"/>
        <v>Proyek besar</v>
      </c>
    </row>
    <row r="7" spans="1:6" x14ac:dyDescent="0.35">
      <c r="A7" s="7" t="s">
        <v>330</v>
      </c>
      <c r="B7" s="3" t="s">
        <v>331</v>
      </c>
      <c r="C7" s="12">
        <v>4.0256686923676028</v>
      </c>
      <c r="D7" s="20">
        <v>2.8900000000000002E-3</v>
      </c>
      <c r="E7" s="38">
        <f t="shared" si="0"/>
        <v>0.42</v>
      </c>
      <c r="F7" s="7" t="str">
        <f t="shared" si="1"/>
        <v>Proyek besar</v>
      </c>
    </row>
    <row r="8" spans="1:6" x14ac:dyDescent="0.35">
      <c r="A8" s="7" t="s">
        <v>332</v>
      </c>
      <c r="B8" s="3" t="s">
        <v>333</v>
      </c>
      <c r="C8" s="12">
        <v>2.2697250693010571</v>
      </c>
      <c r="D8" s="20">
        <v>6.5700000000000003E-3</v>
      </c>
      <c r="E8" s="38">
        <f t="shared" si="0"/>
        <v>5.1999999999999963E-2</v>
      </c>
      <c r="F8" s="7" t="str">
        <f t="shared" si="1"/>
        <v>Tambahan cepat</v>
      </c>
    </row>
    <row r="9" spans="1:6" x14ac:dyDescent="0.35">
      <c r="A9" s="7" t="s">
        <v>334</v>
      </c>
      <c r="B9" s="3" t="s">
        <v>335</v>
      </c>
      <c r="C9" s="12">
        <v>2.6925119215457052</v>
      </c>
      <c r="D9" s="20">
        <v>6.6699999999999997E-3</v>
      </c>
      <c r="E9" s="38">
        <f t="shared" si="0"/>
        <v>4.2000000000000023E-2</v>
      </c>
      <c r="F9" s="7" t="str">
        <f t="shared" si="1"/>
        <v>Tambahan cepat</v>
      </c>
    </row>
    <row r="10" spans="1:6" x14ac:dyDescent="0.35">
      <c r="A10" s="7" t="s">
        <v>336</v>
      </c>
      <c r="B10" s="3" t="s">
        <v>337</v>
      </c>
      <c r="C10" s="12">
        <v>4.625732197430704</v>
      </c>
      <c r="D10" s="20">
        <v>3.29E-3</v>
      </c>
      <c r="E10" s="38">
        <f t="shared" si="0"/>
        <v>0.38</v>
      </c>
      <c r="F10" s="7" t="str">
        <f t="shared" si="1"/>
        <v>Proyek besar</v>
      </c>
    </row>
    <row r="11" spans="1:6" x14ac:dyDescent="0.35">
      <c r="A11" s="7" t="s">
        <v>338</v>
      </c>
      <c r="B11" s="3" t="s">
        <v>339</v>
      </c>
      <c r="C11" s="12">
        <v>5.8823027490447899</v>
      </c>
      <c r="D11" s="20">
        <v>3.1800000000000001E-3</v>
      </c>
      <c r="E11" s="38">
        <f t="shared" si="0"/>
        <v>0.39100000000000001</v>
      </c>
      <c r="F11" s="7" t="str">
        <f t="shared" si="1"/>
        <v>Proyek besar</v>
      </c>
    </row>
    <row r="12" spans="1:6" x14ac:dyDescent="0.35">
      <c r="A12" s="7" t="s">
        <v>340</v>
      </c>
      <c r="B12" s="3" t="s">
        <v>341</v>
      </c>
      <c r="C12" s="12">
        <v>1.780738460698633</v>
      </c>
      <c r="D12" s="20">
        <v>7.0299999999999998E-3</v>
      </c>
      <c r="E12" s="38">
        <f t="shared" si="0"/>
        <v>6.0000000000000157E-3</v>
      </c>
      <c r="F12" s="7" t="str">
        <f t="shared" si="1"/>
        <v>Tambahan cepat</v>
      </c>
    </row>
    <row r="13" spans="1:6" x14ac:dyDescent="0.35">
      <c r="A13" s="7" t="s">
        <v>342</v>
      </c>
      <c r="B13" s="3" t="s">
        <v>343</v>
      </c>
      <c r="C13" s="12">
        <v>2.0192219099185849</v>
      </c>
      <c r="D13" s="20">
        <v>6.4799999999999996E-3</v>
      </c>
      <c r="E13" s="38">
        <f t="shared" si="0"/>
        <v>6.1000000000000026E-2</v>
      </c>
      <c r="F13" s="7" t="str">
        <f t="shared" si="1"/>
        <v>Tambahan cepat</v>
      </c>
    </row>
    <row r="14" spans="1:6" x14ac:dyDescent="0.35">
      <c r="A14" s="7" t="s">
        <v>344</v>
      </c>
      <c r="B14" s="3" t="s">
        <v>345</v>
      </c>
      <c r="C14" s="12">
        <v>2.3652870607352381</v>
      </c>
      <c r="D14" s="20">
        <v>5.5399999999999998E-3</v>
      </c>
      <c r="E14" s="38">
        <f t="shared" si="0"/>
        <v>0.15500000000000003</v>
      </c>
      <c r="F14" s="7" t="str">
        <f t="shared" si="1"/>
        <v>Tambahan cepat</v>
      </c>
    </row>
    <row r="15" spans="1:6" x14ac:dyDescent="0.35">
      <c r="A15" s="7" t="s">
        <v>346</v>
      </c>
      <c r="B15" s="3" t="s">
        <v>347</v>
      </c>
      <c r="C15" s="12">
        <v>2.6492606959655158</v>
      </c>
      <c r="D15" s="20">
        <v>5.1000000000000004E-3</v>
      </c>
      <c r="E15" s="38">
        <f t="shared" si="0"/>
        <v>0.19899999999999995</v>
      </c>
      <c r="F15" s="7" t="str">
        <f t="shared" si="1"/>
        <v>Kerjakan dulu</v>
      </c>
    </row>
    <row r="16" spans="1:6" x14ac:dyDescent="0.35">
      <c r="A16" s="7" t="s">
        <v>348</v>
      </c>
      <c r="B16" s="3" t="s">
        <v>349</v>
      </c>
      <c r="C16" s="12">
        <v>3.619048621497388</v>
      </c>
      <c r="D16" s="20">
        <v>3.9300000000000003E-3</v>
      </c>
      <c r="E16" s="38">
        <f t="shared" si="0"/>
        <v>0.31599999999999995</v>
      </c>
      <c r="F16" s="7" t="str">
        <f t="shared" si="1"/>
        <v>Proyek besar</v>
      </c>
    </row>
    <row r="17" spans="1:6" x14ac:dyDescent="0.35">
      <c r="A17" s="7" t="s">
        <v>350</v>
      </c>
      <c r="B17" s="3" t="s">
        <v>351</v>
      </c>
      <c r="C17" s="12">
        <v>4.78502766959814</v>
      </c>
      <c r="D17" s="20">
        <v>4.0000000000000001E-3</v>
      </c>
      <c r="E17" s="38">
        <f t="shared" si="0"/>
        <v>0.309</v>
      </c>
      <c r="F17" s="7" t="str">
        <f t="shared" si="1"/>
        <v>Proyek besar</v>
      </c>
    </row>
    <row r="18" spans="1:6" x14ac:dyDescent="0.35">
      <c r="A18" s="7" t="s">
        <v>352</v>
      </c>
      <c r="B18" s="3" t="s">
        <v>353</v>
      </c>
      <c r="C18" s="12">
        <v>6.8690643383769006</v>
      </c>
      <c r="D18" s="20">
        <v>3.3E-3</v>
      </c>
      <c r="E18" s="38">
        <f t="shared" si="0"/>
        <v>0.379</v>
      </c>
      <c r="F18" s="7" t="str">
        <f t="shared" si="1"/>
        <v>Proyek besar</v>
      </c>
    </row>
    <row r="19" spans="1:6" x14ac:dyDescent="0.35">
      <c r="A19" s="7" t="s">
        <v>354</v>
      </c>
      <c r="B19" s="3" t="s">
        <v>355</v>
      </c>
      <c r="C19" s="12">
        <v>7.3325580658210221</v>
      </c>
      <c r="D19" s="20">
        <v>1.9599999999999999E-3</v>
      </c>
      <c r="E19" s="38">
        <f t="shared" si="0"/>
        <v>0.51300000000000001</v>
      </c>
      <c r="F19" s="7" t="str">
        <f t="shared" si="1"/>
        <v>Proyek besar</v>
      </c>
    </row>
    <row r="20" spans="1:6" x14ac:dyDescent="0.35">
      <c r="A20" s="7" t="s">
        <v>356</v>
      </c>
      <c r="B20" s="3" t="s">
        <v>357</v>
      </c>
      <c r="C20" s="12">
        <v>2.5867047628794988</v>
      </c>
      <c r="D20" s="20">
        <v>5.0899999999999999E-3</v>
      </c>
      <c r="E20" s="38">
        <f t="shared" si="0"/>
        <v>0.2</v>
      </c>
      <c r="F20" s="7" t="str">
        <f t="shared" si="1"/>
        <v>Kerjakan dulu</v>
      </c>
    </row>
    <row r="21" spans="1:6" x14ac:dyDescent="0.35">
      <c r="A21" s="7" t="s">
        <v>358</v>
      </c>
      <c r="B21" s="3" t="s">
        <v>359</v>
      </c>
      <c r="C21" s="12">
        <v>4.3316525524215406</v>
      </c>
      <c r="D21" s="20">
        <v>4.5100000000000001E-3</v>
      </c>
      <c r="E21" s="38">
        <f t="shared" si="0"/>
        <v>0.25800000000000001</v>
      </c>
      <c r="F21" s="7" t="str">
        <f t="shared" si="1"/>
        <v>Proyek besar</v>
      </c>
    </row>
    <row r="22" spans="1:6" x14ac:dyDescent="0.35">
      <c r="A22" s="7" t="s">
        <v>360</v>
      </c>
      <c r="B22" s="3" t="s">
        <v>361</v>
      </c>
      <c r="C22" s="12">
        <v>5.1705485076859894</v>
      </c>
      <c r="D22" s="20">
        <v>6.0800000000000003E-3</v>
      </c>
      <c r="E22" s="38">
        <f t="shared" si="0"/>
        <v>0.10099999999999996</v>
      </c>
      <c r="F22" s="7" t="str">
        <f t="shared" si="1"/>
        <v>Hindari</v>
      </c>
    </row>
    <row r="23" spans="1:6" x14ac:dyDescent="0.35">
      <c r="A23" s="7" t="s">
        <v>362</v>
      </c>
      <c r="B23" s="3" t="s">
        <v>363</v>
      </c>
      <c r="C23" s="12">
        <v>2.100226910882828</v>
      </c>
      <c r="D23" s="20">
        <v>6.7600000000000004E-3</v>
      </c>
      <c r="E23" s="38">
        <f t="shared" si="0"/>
        <v>3.299999999999996E-2</v>
      </c>
      <c r="F23" s="7" t="str">
        <f t="shared" si="1"/>
        <v>Tambahan cepat</v>
      </c>
    </row>
    <row r="24" spans="1:6" x14ac:dyDescent="0.35">
      <c r="A24" s="7" t="s">
        <v>84</v>
      </c>
      <c r="B24" s="3" t="s">
        <v>364</v>
      </c>
      <c r="C24" s="12">
        <v>2.6760111203695689</v>
      </c>
      <c r="D24" s="20">
        <v>5.6899999999999997E-3</v>
      </c>
      <c r="E24" s="38">
        <f t="shared" si="0"/>
        <v>0.14000000000000001</v>
      </c>
      <c r="F24" s="7" t="str">
        <f t="shared" si="1"/>
        <v>Tambahan cepat</v>
      </c>
    </row>
    <row r="25" spans="1:6" x14ac:dyDescent="0.35">
      <c r="A25" s="7" t="s">
        <v>365</v>
      </c>
      <c r="B25" s="3" t="s">
        <v>366</v>
      </c>
      <c r="C25" s="12">
        <v>1.7224475425403689</v>
      </c>
      <c r="D25" s="20">
        <v>6.8999999999999999E-3</v>
      </c>
      <c r="E25" s="38">
        <f t="shared" si="0"/>
        <v>1.9000000000000006E-2</v>
      </c>
      <c r="F25" s="7" t="str">
        <f t="shared" si="1"/>
        <v>Tambahan cepat</v>
      </c>
    </row>
    <row r="26" spans="1:6" x14ac:dyDescent="0.35">
      <c r="A26" s="7" t="s">
        <v>367</v>
      </c>
      <c r="B26" s="3" t="s">
        <v>368</v>
      </c>
      <c r="C26" s="12">
        <v>3.7357662097032249</v>
      </c>
      <c r="D26" s="20">
        <v>6.2300000000000003E-3</v>
      </c>
      <c r="E26" s="38">
        <f t="shared" si="0"/>
        <v>8.5999999999999965E-2</v>
      </c>
      <c r="F26" s="7" t="str">
        <f t="shared" si="1"/>
        <v>Hindari</v>
      </c>
    </row>
    <row r="27" spans="1:6" x14ac:dyDescent="0.35">
      <c r="A27" s="7" t="s">
        <v>369</v>
      </c>
      <c r="B27" s="3" t="s">
        <v>370</v>
      </c>
      <c r="C27" s="12">
        <v>3.465124288137865</v>
      </c>
      <c r="D27" s="20">
        <v>4.1200000000000004E-3</v>
      </c>
      <c r="E27" s="38">
        <f t="shared" si="0"/>
        <v>0.29699999999999993</v>
      </c>
      <c r="F27" s="7" t="str">
        <f t="shared" si="1"/>
        <v>Proyek besar</v>
      </c>
    </row>
    <row r="28" spans="1:6" x14ac:dyDescent="0.35">
      <c r="A28" s="7" t="s">
        <v>371</v>
      </c>
      <c r="B28" s="3" t="s">
        <v>372</v>
      </c>
      <c r="C28" s="12">
        <v>2.4078064908289072</v>
      </c>
      <c r="D28" s="20">
        <v>6.4000000000000003E-3</v>
      </c>
      <c r="E28" s="38">
        <f t="shared" si="0"/>
        <v>6.8999999999999964E-2</v>
      </c>
      <c r="F28" s="7" t="str">
        <f t="shared" si="1"/>
        <v>Tambahan cepat</v>
      </c>
    </row>
    <row r="30" spans="1:6" x14ac:dyDescent="0.35">
      <c r="A30" s="15" t="s">
        <v>373</v>
      </c>
      <c r="C30" s="8">
        <f>MEDIAN(C4:C28)</f>
        <v>2.6925119215457052</v>
      </c>
    </row>
    <row r="31" spans="1:6" x14ac:dyDescent="0.35">
      <c r="A31" s="15" t="s">
        <v>374</v>
      </c>
      <c r="C31" s="38">
        <f>MEDIAN(E4:E28)</f>
        <v>0.19899999999999995</v>
      </c>
    </row>
    <row r="33" spans="1:1" x14ac:dyDescent="0.35">
      <c r="A33" s="4" t="s">
        <v>375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"/>
  <sheetViews>
    <sheetView showGridLines="0" workbookViewId="0"/>
  </sheetViews>
  <sheetFormatPr defaultRowHeight="14.5" x14ac:dyDescent="0.35"/>
  <cols>
    <col min="1" max="1" width="20" customWidth="1"/>
    <col min="2" max="2" width="30" customWidth="1"/>
    <col min="3" max="3" width="11" customWidth="1"/>
    <col min="4" max="4" width="70" customWidth="1"/>
    <col min="5" max="5" width="7" customWidth="1"/>
    <col min="6" max="6" width="9" customWidth="1"/>
    <col min="7" max="7" width="12" customWidth="1"/>
    <col min="8" max="8" width="52" customWidth="1"/>
  </cols>
  <sheetData>
    <row r="1" spans="1:8" ht="16.5" x14ac:dyDescent="0.35">
      <c r="A1" s="1" t="s">
        <v>376</v>
      </c>
    </row>
    <row r="2" spans="1:8" x14ac:dyDescent="0.35">
      <c r="A2" s="4" t="s">
        <v>377</v>
      </c>
    </row>
    <row r="3" spans="1:8" x14ac:dyDescent="0.35">
      <c r="A3" s="5" t="s">
        <v>378</v>
      </c>
      <c r="B3" s="5" t="s">
        <v>379</v>
      </c>
      <c r="C3" s="5" t="s">
        <v>380</v>
      </c>
      <c r="D3" s="5" t="s">
        <v>381</v>
      </c>
      <c r="E3" s="5" t="s">
        <v>382</v>
      </c>
      <c r="F3" s="5" t="s">
        <v>383</v>
      </c>
      <c r="G3" s="5" t="s">
        <v>384</v>
      </c>
      <c r="H3" s="5" t="s">
        <v>385</v>
      </c>
    </row>
    <row r="4" spans="1:8" ht="25" x14ac:dyDescent="0.35">
      <c r="A4" s="7" t="s">
        <v>386</v>
      </c>
      <c r="B4" s="3" t="s">
        <v>387</v>
      </c>
      <c r="C4" s="7" t="s">
        <v>388</v>
      </c>
      <c r="D4" s="3" t="s">
        <v>389</v>
      </c>
      <c r="E4" s="10">
        <v>4</v>
      </c>
      <c r="F4" s="11">
        <v>0.08</v>
      </c>
      <c r="G4" s="39">
        <f t="shared" ref="G4:G17" si="0">E4*F4</f>
        <v>0.32</v>
      </c>
      <c r="H4" s="3" t="s">
        <v>390</v>
      </c>
    </row>
    <row r="5" spans="1:8" ht="25" x14ac:dyDescent="0.35">
      <c r="A5" s="7" t="s">
        <v>386</v>
      </c>
      <c r="B5" s="3" t="s">
        <v>391</v>
      </c>
      <c r="C5" s="7" t="s">
        <v>388</v>
      </c>
      <c r="D5" s="3" t="s">
        <v>392</v>
      </c>
      <c r="E5" s="10">
        <v>4</v>
      </c>
      <c r="F5" s="11">
        <v>0.06</v>
      </c>
      <c r="G5" s="39">
        <f t="shared" si="0"/>
        <v>0.24</v>
      </c>
      <c r="H5" s="3" t="s">
        <v>393</v>
      </c>
    </row>
    <row r="6" spans="1:8" ht="25" x14ac:dyDescent="0.35">
      <c r="A6" s="7" t="s">
        <v>386</v>
      </c>
      <c r="B6" s="3" t="s">
        <v>394</v>
      </c>
      <c r="C6" s="7" t="s">
        <v>395</v>
      </c>
      <c r="D6" s="3" t="s">
        <v>396</v>
      </c>
      <c r="E6" s="10">
        <v>3</v>
      </c>
      <c r="F6" s="11">
        <v>0.1</v>
      </c>
      <c r="G6" s="39">
        <f t="shared" si="0"/>
        <v>0.30000000000000004</v>
      </c>
      <c r="H6" s="3" t="s">
        <v>397</v>
      </c>
    </row>
    <row r="7" spans="1:8" x14ac:dyDescent="0.35">
      <c r="A7" s="7" t="s">
        <v>386</v>
      </c>
      <c r="B7" s="3" t="s">
        <v>398</v>
      </c>
      <c r="C7" s="7" t="s">
        <v>388</v>
      </c>
      <c r="D7" s="3" t="s">
        <v>399</v>
      </c>
      <c r="E7" s="10">
        <v>4</v>
      </c>
      <c r="F7" s="11">
        <v>0.04</v>
      </c>
      <c r="G7" s="39">
        <f t="shared" si="0"/>
        <v>0.16</v>
      </c>
      <c r="H7" s="3" t="s">
        <v>400</v>
      </c>
    </row>
    <row r="8" spans="1:8" ht="25" x14ac:dyDescent="0.35">
      <c r="A8" s="7" t="s">
        <v>401</v>
      </c>
      <c r="B8" s="3" t="s">
        <v>402</v>
      </c>
      <c r="C8" s="7" t="s">
        <v>388</v>
      </c>
      <c r="D8" s="3" t="s">
        <v>403</v>
      </c>
      <c r="E8" s="10">
        <v>5</v>
      </c>
      <c r="F8" s="11">
        <v>0.1</v>
      </c>
      <c r="G8" s="39">
        <f t="shared" si="0"/>
        <v>0.5</v>
      </c>
      <c r="H8" s="3" t="s">
        <v>404</v>
      </c>
    </row>
    <row r="9" spans="1:8" x14ac:dyDescent="0.35">
      <c r="A9" s="7" t="s">
        <v>401</v>
      </c>
      <c r="B9" s="3" t="s">
        <v>405</v>
      </c>
      <c r="C9" s="7" t="s">
        <v>388</v>
      </c>
      <c r="D9" s="3" t="s">
        <v>406</v>
      </c>
      <c r="E9" s="10">
        <v>5</v>
      </c>
      <c r="F9" s="11">
        <v>0.06</v>
      </c>
      <c r="G9" s="39">
        <f t="shared" si="0"/>
        <v>0.3</v>
      </c>
      <c r="H9" s="3" t="s">
        <v>407</v>
      </c>
    </row>
    <row r="10" spans="1:8" ht="25" x14ac:dyDescent="0.35">
      <c r="A10" s="7" t="s">
        <v>401</v>
      </c>
      <c r="B10" s="3" t="s">
        <v>408</v>
      </c>
      <c r="C10" s="7" t="s">
        <v>388</v>
      </c>
      <c r="D10" s="3" t="s">
        <v>409</v>
      </c>
      <c r="E10" s="10">
        <v>5</v>
      </c>
      <c r="F10" s="11">
        <v>0.08</v>
      </c>
      <c r="G10" s="39">
        <f t="shared" si="0"/>
        <v>0.4</v>
      </c>
      <c r="H10" s="3" t="s">
        <v>410</v>
      </c>
    </row>
    <row r="11" spans="1:8" x14ac:dyDescent="0.35">
      <c r="A11" s="7" t="s">
        <v>401</v>
      </c>
      <c r="B11" s="3" t="s">
        <v>411</v>
      </c>
      <c r="C11" s="7" t="s">
        <v>388</v>
      </c>
      <c r="D11" s="3" t="s">
        <v>412</v>
      </c>
      <c r="E11" s="10">
        <v>5</v>
      </c>
      <c r="F11" s="11">
        <v>0.06</v>
      </c>
      <c r="G11" s="39">
        <f t="shared" si="0"/>
        <v>0.3</v>
      </c>
      <c r="H11" s="3" t="s">
        <v>413</v>
      </c>
    </row>
    <row r="12" spans="1:8" ht="25" x14ac:dyDescent="0.35">
      <c r="A12" s="7" t="s">
        <v>414</v>
      </c>
      <c r="B12" s="3" t="s">
        <v>415</v>
      </c>
      <c r="C12" s="7" t="s">
        <v>388</v>
      </c>
      <c r="D12" s="3" t="s">
        <v>416</v>
      </c>
      <c r="E12" s="10">
        <v>4</v>
      </c>
      <c r="F12" s="11">
        <v>0.08</v>
      </c>
      <c r="G12" s="39">
        <f t="shared" si="0"/>
        <v>0.32</v>
      </c>
      <c r="H12" s="3" t="s">
        <v>417</v>
      </c>
    </row>
    <row r="13" spans="1:8" x14ac:dyDescent="0.35">
      <c r="A13" s="7" t="s">
        <v>414</v>
      </c>
      <c r="B13" s="3" t="s">
        <v>418</v>
      </c>
      <c r="C13" s="7" t="s">
        <v>388</v>
      </c>
      <c r="D13" s="3" t="s">
        <v>419</v>
      </c>
      <c r="E13" s="10">
        <v>4</v>
      </c>
      <c r="F13" s="11">
        <v>0.05</v>
      </c>
      <c r="G13" s="39">
        <f t="shared" si="0"/>
        <v>0.2</v>
      </c>
      <c r="H13" s="3" t="s">
        <v>420</v>
      </c>
    </row>
    <row r="14" spans="1:8" ht="25" x14ac:dyDescent="0.35">
      <c r="A14" s="7" t="s">
        <v>414</v>
      </c>
      <c r="B14" s="3" t="s">
        <v>421</v>
      </c>
      <c r="C14" s="7" t="s">
        <v>388</v>
      </c>
      <c r="D14" s="3" t="s">
        <v>422</v>
      </c>
      <c r="E14" s="10">
        <v>2</v>
      </c>
      <c r="F14" s="11">
        <v>7.0000000000000007E-2</v>
      </c>
      <c r="G14" s="39">
        <f t="shared" si="0"/>
        <v>0.14000000000000001</v>
      </c>
      <c r="H14" s="3" t="s">
        <v>423</v>
      </c>
    </row>
    <row r="15" spans="1:8" x14ac:dyDescent="0.35">
      <c r="A15" s="7" t="s">
        <v>424</v>
      </c>
      <c r="B15" s="3" t="s">
        <v>425</v>
      </c>
      <c r="C15" s="7" t="s">
        <v>426</v>
      </c>
      <c r="D15" s="3" t="s">
        <v>427</v>
      </c>
      <c r="E15" s="10">
        <v>5</v>
      </c>
      <c r="F15" s="11">
        <v>0.1</v>
      </c>
      <c r="G15" s="39">
        <f t="shared" si="0"/>
        <v>0.5</v>
      </c>
      <c r="H15" s="3" t="s">
        <v>428</v>
      </c>
    </row>
    <row r="16" spans="1:8" x14ac:dyDescent="0.35">
      <c r="A16" s="7" t="s">
        <v>424</v>
      </c>
      <c r="B16" s="3" t="s">
        <v>429</v>
      </c>
      <c r="C16" s="7" t="s">
        <v>426</v>
      </c>
      <c r="D16" s="3" t="s">
        <v>430</v>
      </c>
      <c r="E16" s="10">
        <v>5</v>
      </c>
      <c r="F16" s="11">
        <v>7.0000000000000007E-2</v>
      </c>
      <c r="G16" s="39">
        <f t="shared" si="0"/>
        <v>0.35000000000000003</v>
      </c>
      <c r="H16" s="3" t="s">
        <v>431</v>
      </c>
    </row>
    <row r="17" spans="1:8" ht="25" x14ac:dyDescent="0.35">
      <c r="A17" s="7" t="s">
        <v>424</v>
      </c>
      <c r="B17" s="3" t="s">
        <v>432</v>
      </c>
      <c r="C17" s="7" t="s">
        <v>426</v>
      </c>
      <c r="D17" s="3" t="s">
        <v>433</v>
      </c>
      <c r="E17" s="10">
        <v>3</v>
      </c>
      <c r="F17" s="11">
        <v>0.05</v>
      </c>
      <c r="G17" s="39">
        <f t="shared" si="0"/>
        <v>0.15000000000000002</v>
      </c>
      <c r="H17" s="3" t="s">
        <v>434</v>
      </c>
    </row>
    <row r="19" spans="1:8" x14ac:dyDescent="0.35">
      <c r="A19" s="15" t="s">
        <v>435</v>
      </c>
    </row>
    <row r="20" spans="1:8" ht="39" x14ac:dyDescent="0.35">
      <c r="A20" s="5" t="s">
        <v>378</v>
      </c>
      <c r="B20" s="5" t="s">
        <v>436</v>
      </c>
      <c r="C20" s="5" t="s">
        <v>437</v>
      </c>
      <c r="D20" s="5" t="s">
        <v>438</v>
      </c>
    </row>
    <row r="21" spans="1:8" x14ac:dyDescent="0.35">
      <c r="A21" s="7" t="s">
        <v>386</v>
      </c>
      <c r="B21" s="23">
        <f>SUMIF($A$4:$A$17,A21,$F$4:$F$17)</f>
        <v>0.28000000000000003</v>
      </c>
      <c r="C21" s="40">
        <f>SUMIF($A$4:$A$17,A21,$G$4:$G$17)/B21</f>
        <v>3.6428571428571428</v>
      </c>
      <c r="D21" s="7" t="str">
        <f>IF(C21&gt;=4,"Layak",IF(C21&gt;=3,"Layak bersyarat","Belum layak"))</f>
        <v>Layak bersyarat</v>
      </c>
    </row>
    <row r="22" spans="1:8" x14ac:dyDescent="0.35">
      <c r="A22" s="7" t="s">
        <v>401</v>
      </c>
      <c r="B22" s="23">
        <f>SUMIF($A$4:$A$17,A22,$F$4:$F$17)</f>
        <v>0.3</v>
      </c>
      <c r="C22" s="40">
        <f>SUMIF($A$4:$A$17,A22,$G$4:$G$17)/B22</f>
        <v>5.0000000000000009</v>
      </c>
      <c r="D22" s="7" t="str">
        <f>IF(C22&gt;=4,"Layak",IF(C22&gt;=3,"Layak bersyarat","Belum layak"))</f>
        <v>Layak</v>
      </c>
    </row>
    <row r="23" spans="1:8" x14ac:dyDescent="0.35">
      <c r="A23" s="7" t="s">
        <v>414</v>
      </c>
      <c r="B23" s="23">
        <f>SUMIF($A$4:$A$17,A23,$F$4:$F$17)</f>
        <v>0.2</v>
      </c>
      <c r="C23" s="40">
        <f>SUMIF($A$4:$A$17,A23,$G$4:$G$17)/B23</f>
        <v>3.3</v>
      </c>
      <c r="D23" s="7" t="str">
        <f>IF(C23&gt;=4,"Layak",IF(C23&gt;=3,"Layak bersyarat","Belum layak"))</f>
        <v>Layak bersyarat</v>
      </c>
    </row>
    <row r="24" spans="1:8" x14ac:dyDescent="0.35">
      <c r="A24" s="7" t="s">
        <v>424</v>
      </c>
      <c r="B24" s="23">
        <f>SUMIF($A$4:$A$17,A24,$F$4:$F$17)</f>
        <v>0.22000000000000003</v>
      </c>
      <c r="C24" s="40">
        <f>SUMIF($A$4:$A$17,A24,$G$4:$G$17)/B24</f>
        <v>4.545454545454545</v>
      </c>
      <c r="D24" s="7" t="str">
        <f>IF(C24&gt;=4,"Layak",IF(C24&gt;=3,"Layak bersyarat","Belum layak"))</f>
        <v>Layak</v>
      </c>
    </row>
    <row r="25" spans="1:8" x14ac:dyDescent="0.35">
      <c r="A25" s="15" t="s">
        <v>439</v>
      </c>
      <c r="B25" s="41">
        <f>SUM(F4:F17)</f>
        <v>1</v>
      </c>
      <c r="C25" s="42">
        <f>SUM(G4:G17)/B25</f>
        <v>4.1800000000000006</v>
      </c>
      <c r="D25" s="15" t="str">
        <f>IF(C25&gt;=4,"Layak",IF(C25&gt;=3,"Layak bersyarat","Belum layak"))</f>
        <v>Layak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showGridLines="0" workbookViewId="0"/>
  </sheetViews>
  <sheetFormatPr defaultRowHeight="14.5" x14ac:dyDescent="0.35"/>
  <cols>
    <col min="1" max="1" width="5" customWidth="1"/>
    <col min="2" max="2" width="36" customWidth="1"/>
    <col min="3" max="3" width="40" customWidth="1"/>
    <col min="4" max="4" width="13" customWidth="1"/>
    <col min="5" max="5" width="9" customWidth="1"/>
    <col min="6" max="6" width="8" customWidth="1"/>
    <col min="7" max="7" width="10" customWidth="1"/>
    <col min="8" max="8" width="70" customWidth="1"/>
    <col min="9" max="9" width="14" customWidth="1"/>
  </cols>
  <sheetData>
    <row r="1" spans="1:9" ht="16.5" x14ac:dyDescent="0.35">
      <c r="A1" s="1" t="s">
        <v>440</v>
      </c>
    </row>
    <row r="2" spans="1:9" x14ac:dyDescent="0.35">
      <c r="A2" s="4" t="s">
        <v>441</v>
      </c>
    </row>
    <row r="3" spans="1:9" x14ac:dyDescent="0.35">
      <c r="A3" s="5" t="s">
        <v>127</v>
      </c>
      <c r="B3" s="5" t="s">
        <v>442</v>
      </c>
      <c r="C3" s="5" t="s">
        <v>443</v>
      </c>
      <c r="D3" s="5" t="s">
        <v>444</v>
      </c>
      <c r="E3" s="5" t="s">
        <v>445</v>
      </c>
      <c r="F3" s="5" t="s">
        <v>22</v>
      </c>
      <c r="G3" s="5" t="s">
        <v>446</v>
      </c>
      <c r="H3" s="5" t="s">
        <v>447</v>
      </c>
      <c r="I3" s="5" t="s">
        <v>448</v>
      </c>
    </row>
    <row r="4" spans="1:9" ht="25" x14ac:dyDescent="0.35">
      <c r="A4" s="7">
        <v>1</v>
      </c>
      <c r="B4" s="3" t="s">
        <v>449</v>
      </c>
      <c r="C4" s="3" t="s">
        <v>450</v>
      </c>
      <c r="D4" s="10">
        <v>3</v>
      </c>
      <c r="E4" s="10">
        <v>4</v>
      </c>
      <c r="F4" s="22">
        <f t="shared" ref="F4:F10" si="0">D4*E4</f>
        <v>12</v>
      </c>
      <c r="G4" s="7" t="str">
        <f t="shared" ref="G4:G10" si="1">IF(F4&gt;=15,"Tinggi",IF(F4&gt;=8,"Sedang","Rendah"))</f>
        <v>Sedang</v>
      </c>
      <c r="H4" s="3" t="s">
        <v>451</v>
      </c>
      <c r="I4" s="7" t="s">
        <v>452</v>
      </c>
    </row>
    <row r="5" spans="1:9" ht="25" x14ac:dyDescent="0.35">
      <c r="A5" s="7">
        <v>2</v>
      </c>
      <c r="B5" s="3" t="s">
        <v>453</v>
      </c>
      <c r="C5" s="3" t="s">
        <v>454</v>
      </c>
      <c r="D5" s="10">
        <v>3</v>
      </c>
      <c r="E5" s="10">
        <v>5</v>
      </c>
      <c r="F5" s="22">
        <f t="shared" si="0"/>
        <v>15</v>
      </c>
      <c r="G5" s="7" t="str">
        <f t="shared" si="1"/>
        <v>Tinggi</v>
      </c>
      <c r="H5" s="3" t="s">
        <v>455</v>
      </c>
      <c r="I5" s="7" t="s">
        <v>456</v>
      </c>
    </row>
    <row r="6" spans="1:9" ht="25" x14ac:dyDescent="0.35">
      <c r="A6" s="7">
        <v>3</v>
      </c>
      <c r="B6" s="3" t="s">
        <v>457</v>
      </c>
      <c r="C6" s="3" t="s">
        <v>458</v>
      </c>
      <c r="D6" s="10">
        <v>3</v>
      </c>
      <c r="E6" s="10">
        <v>3</v>
      </c>
      <c r="F6" s="22">
        <f t="shared" si="0"/>
        <v>9</v>
      </c>
      <c r="G6" s="7" t="str">
        <f t="shared" si="1"/>
        <v>Sedang</v>
      </c>
      <c r="H6" s="3" t="s">
        <v>459</v>
      </c>
      <c r="I6" s="7" t="s">
        <v>460</v>
      </c>
    </row>
    <row r="7" spans="1:9" x14ac:dyDescent="0.35">
      <c r="A7" s="7">
        <v>4</v>
      </c>
      <c r="B7" s="3" t="s">
        <v>461</v>
      </c>
      <c r="C7" s="3" t="s">
        <v>462</v>
      </c>
      <c r="D7" s="10">
        <v>3</v>
      </c>
      <c r="E7" s="10">
        <v>3</v>
      </c>
      <c r="F7" s="22">
        <f t="shared" si="0"/>
        <v>9</v>
      </c>
      <c r="G7" s="7" t="str">
        <f t="shared" si="1"/>
        <v>Sedang</v>
      </c>
      <c r="H7" s="3" t="s">
        <v>463</v>
      </c>
      <c r="I7" s="7" t="s">
        <v>464</v>
      </c>
    </row>
    <row r="8" spans="1:9" ht="25" x14ac:dyDescent="0.35">
      <c r="A8" s="7">
        <v>5</v>
      </c>
      <c r="B8" s="3" t="s">
        <v>465</v>
      </c>
      <c r="C8" s="3" t="s">
        <v>466</v>
      </c>
      <c r="D8" s="10">
        <v>1</v>
      </c>
      <c r="E8" s="10">
        <v>5</v>
      </c>
      <c r="F8" s="22">
        <f t="shared" si="0"/>
        <v>5</v>
      </c>
      <c r="G8" s="7" t="str">
        <f t="shared" si="1"/>
        <v>Rendah</v>
      </c>
      <c r="H8" s="3" t="s">
        <v>467</v>
      </c>
      <c r="I8" s="7" t="s">
        <v>468</v>
      </c>
    </row>
    <row r="9" spans="1:9" ht="25" x14ac:dyDescent="0.35">
      <c r="A9" s="7">
        <v>6</v>
      </c>
      <c r="B9" s="3" t="s">
        <v>469</v>
      </c>
      <c r="C9" s="3" t="s">
        <v>470</v>
      </c>
      <c r="D9" s="10">
        <v>2</v>
      </c>
      <c r="E9" s="10">
        <v>3</v>
      </c>
      <c r="F9" s="22">
        <f t="shared" si="0"/>
        <v>6</v>
      </c>
      <c r="G9" s="7" t="str">
        <f t="shared" si="1"/>
        <v>Rendah</v>
      </c>
      <c r="H9" s="3" t="s">
        <v>471</v>
      </c>
      <c r="I9" s="7" t="s">
        <v>472</v>
      </c>
    </row>
    <row r="10" spans="1:9" ht="25" x14ac:dyDescent="0.35">
      <c r="A10" s="7">
        <v>7</v>
      </c>
      <c r="B10" s="3" t="s">
        <v>473</v>
      </c>
      <c r="C10" s="3" t="s">
        <v>474</v>
      </c>
      <c r="D10" s="10">
        <v>2</v>
      </c>
      <c r="E10" s="10">
        <v>3</v>
      </c>
      <c r="F10" s="22">
        <f t="shared" si="0"/>
        <v>6</v>
      </c>
      <c r="G10" s="7" t="str">
        <f t="shared" si="1"/>
        <v>Rendah</v>
      </c>
      <c r="H10" s="3" t="s">
        <v>475</v>
      </c>
      <c r="I10" s="7" t="s">
        <v>476</v>
      </c>
    </row>
    <row r="12" spans="1:9" x14ac:dyDescent="0.35">
      <c r="A12" s="15" t="s">
        <v>477</v>
      </c>
    </row>
    <row r="13" spans="1:9" x14ac:dyDescent="0.35">
      <c r="B13" s="7" t="s">
        <v>478</v>
      </c>
      <c r="D13" s="22">
        <f>COUNTIF($G$4:$G$10,B13)</f>
        <v>1</v>
      </c>
    </row>
    <row r="14" spans="1:9" x14ac:dyDescent="0.35">
      <c r="B14" s="7" t="s">
        <v>479</v>
      </c>
      <c r="D14" s="22">
        <f>COUNTIF($G$4:$G$10,B14)</f>
        <v>3</v>
      </c>
    </row>
    <row r="15" spans="1:9" x14ac:dyDescent="0.35">
      <c r="B15" s="7" t="s">
        <v>480</v>
      </c>
      <c r="D15" s="22">
        <f>COUNTIF($G$4:$G$10,B15)</f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"/>
  <sheetViews>
    <sheetView showGridLines="0" workbookViewId="0"/>
  </sheetViews>
  <sheetFormatPr defaultRowHeight="14.5" x14ac:dyDescent="0.35"/>
  <cols>
    <col min="1" max="1" width="44" customWidth="1"/>
    <col min="2" max="2" width="24" customWidth="1"/>
    <col min="3" max="3" width="76" customWidth="1"/>
    <col min="4" max="4" width="58" customWidth="1"/>
  </cols>
  <sheetData>
    <row r="1" spans="1:4" ht="16.5" x14ac:dyDescent="0.35">
      <c r="A1" s="1" t="s">
        <v>481</v>
      </c>
    </row>
    <row r="3" spans="1:4" x14ac:dyDescent="0.35">
      <c r="A3" s="5" t="s">
        <v>482</v>
      </c>
      <c r="B3" s="5" t="s">
        <v>483</v>
      </c>
      <c r="C3" s="5" t="s">
        <v>484</v>
      </c>
      <c r="D3" s="5" t="s">
        <v>485</v>
      </c>
    </row>
    <row r="4" spans="1:4" x14ac:dyDescent="0.35">
      <c r="A4" s="3" t="s">
        <v>486</v>
      </c>
      <c r="B4" s="3" t="s">
        <v>487</v>
      </c>
      <c r="C4" s="3" t="s">
        <v>488</v>
      </c>
      <c r="D4" s="3" t="s">
        <v>489</v>
      </c>
    </row>
    <row r="5" spans="1:4" x14ac:dyDescent="0.35">
      <c r="A5" s="3" t="s">
        <v>490</v>
      </c>
      <c r="B5" s="3" t="s">
        <v>491</v>
      </c>
      <c r="C5" s="3" t="s">
        <v>492</v>
      </c>
      <c r="D5" s="3" t="s">
        <v>493</v>
      </c>
    </row>
    <row r="6" spans="1:4" ht="25" x14ac:dyDescent="0.35">
      <c r="A6" s="3" t="s">
        <v>494</v>
      </c>
      <c r="B6" s="3" t="s">
        <v>495</v>
      </c>
      <c r="C6" s="3" t="s">
        <v>496</v>
      </c>
      <c r="D6" s="3" t="s">
        <v>497</v>
      </c>
    </row>
    <row r="7" spans="1:4" ht="25" x14ac:dyDescent="0.35">
      <c r="A7" s="3" t="s">
        <v>498</v>
      </c>
      <c r="B7" s="3" t="s">
        <v>499</v>
      </c>
      <c r="C7" s="3" t="s">
        <v>500</v>
      </c>
      <c r="D7" s="3" t="s">
        <v>501</v>
      </c>
    </row>
    <row r="8" spans="1:4" ht="25" x14ac:dyDescent="0.35">
      <c r="A8" s="3" t="s">
        <v>502</v>
      </c>
      <c r="B8" s="3" t="s">
        <v>503</v>
      </c>
      <c r="C8" s="3" t="s">
        <v>504</v>
      </c>
      <c r="D8" s="3" t="s">
        <v>505</v>
      </c>
    </row>
    <row r="10" spans="1:4" x14ac:dyDescent="0.35">
      <c r="A10" s="15" t="s">
        <v>506</v>
      </c>
    </row>
    <row r="11" spans="1:4" x14ac:dyDescent="0.35">
      <c r="A11" s="5" t="s">
        <v>507</v>
      </c>
      <c r="B11" s="5" t="s">
        <v>78</v>
      </c>
      <c r="C11" s="5" t="s">
        <v>508</v>
      </c>
      <c r="D11" s="5" t="s">
        <v>509</v>
      </c>
    </row>
    <row r="12" spans="1:4" x14ac:dyDescent="0.35">
      <c r="A12" s="3" t="s">
        <v>510</v>
      </c>
      <c r="B12" s="33">
        <f>Hasil_Model!B16</f>
        <v>7.0899999999999999E-3</v>
      </c>
      <c r="C12" s="7" t="s">
        <v>511</v>
      </c>
      <c r="D12" s="7" t="s">
        <v>512</v>
      </c>
    </row>
    <row r="13" spans="1:4" x14ac:dyDescent="0.35">
      <c r="A13" s="3" t="s">
        <v>513</v>
      </c>
      <c r="B13" s="33">
        <f>Hasil_Model!B17</f>
        <v>8.3700000000000007E-3</v>
      </c>
      <c r="C13" s="7" t="s">
        <v>511</v>
      </c>
      <c r="D13" s="7" t="s">
        <v>512</v>
      </c>
    </row>
    <row r="14" spans="1:4" x14ac:dyDescent="0.35">
      <c r="A14" s="3" t="s">
        <v>514</v>
      </c>
      <c r="B14" s="26">
        <f>Hasil_Model!B5</f>
        <v>1.2</v>
      </c>
      <c r="C14" s="7" t="s">
        <v>515</v>
      </c>
      <c r="D14" s="7" t="s">
        <v>516</v>
      </c>
    </row>
    <row r="15" spans="1:4" x14ac:dyDescent="0.35">
      <c r="A15" s="3" t="s">
        <v>113</v>
      </c>
      <c r="B15" s="26">
        <f>Hasil_Model!B20</f>
        <v>-1.222120419381383</v>
      </c>
      <c r="C15" s="7" t="s">
        <v>517</v>
      </c>
      <c r="D15" s="7" t="s">
        <v>518</v>
      </c>
    </row>
    <row r="16" spans="1:4" x14ac:dyDescent="0.35">
      <c r="A16" s="3" t="s">
        <v>519</v>
      </c>
      <c r="B16" s="11">
        <v>0</v>
      </c>
      <c r="C16" s="7" t="s">
        <v>520</v>
      </c>
      <c r="D16" s="7" t="s">
        <v>521</v>
      </c>
    </row>
    <row r="17" spans="1:4" ht="25" x14ac:dyDescent="0.35">
      <c r="A17" s="3" t="s">
        <v>522</v>
      </c>
      <c r="B17" s="11">
        <v>0.65337623426769953</v>
      </c>
      <c r="C17" s="7" t="s">
        <v>517</v>
      </c>
      <c r="D17" s="7" t="s">
        <v>523</v>
      </c>
    </row>
    <row r="18" spans="1:4" x14ac:dyDescent="0.35">
      <c r="A18" s="3" t="s">
        <v>524</v>
      </c>
      <c r="B18" s="19" t="s">
        <v>525</v>
      </c>
      <c r="C18" s="7" t="s">
        <v>526</v>
      </c>
      <c r="D18" s="7" t="s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Baca_Dulu</vt:lpstr>
      <vt:lpstr>Asumsi</vt:lpstr>
      <vt:lpstr>Hasil_Model</vt:lpstr>
      <vt:lpstr>Matematika_Keuangan</vt:lpstr>
      <vt:lpstr>Biaya_Manfaat</vt:lpstr>
      <vt:lpstr>Sensitivitas</vt:lpstr>
      <vt:lpstr>Skenario</vt:lpstr>
      <vt:lpstr>Lima_Mengapa</vt:lpstr>
      <vt:lpstr>Dampak_Upaya</vt:lpstr>
      <vt:lpstr>Kelayakan</vt:lpstr>
      <vt:lpstr>Risiko</vt:lpstr>
      <vt:lpstr>Peta_Jalan_KPI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Lutfian Syah</cp:lastModifiedBy>
  <dcterms:created xsi:type="dcterms:W3CDTF">2026-10-13T07:45:51Z</dcterms:created>
  <dcterms:modified xsi:type="dcterms:W3CDTF">2026-10-13T07:45:56Z</dcterms:modified>
</cp:coreProperties>
</file>